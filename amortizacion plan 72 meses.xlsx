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v\Desktop\"/>
    </mc:Choice>
  </mc:AlternateContent>
  <xr:revisionPtr revIDLastSave="0" documentId="8_{8A7E22BF-5CFC-4DCB-8717-9D30D1EDBE7F}" xr6:coauthVersionLast="47" xr6:coauthVersionMax="47" xr10:uidLastSave="{00000000-0000-0000-0000-000000000000}"/>
  <bookViews>
    <workbookView xWindow="-120" yWindow="-120" windowWidth="29040" windowHeight="15840" xr2:uid="{3055D665-734D-47AE-BA39-B22052545886}"/>
  </bookViews>
  <sheets>
    <sheet name="AMORTIZACION  AUTO  72" sheetId="1" r:id="rId1"/>
  </sheets>
  <externalReferences>
    <externalReference r:id="rId2"/>
    <externalReference r:id="rId3"/>
  </externalReferences>
  <definedNames>
    <definedName name="_xlnm.Print_Area" localSheetId="0">'AMORTIZACION  AUTO  72'!$A$1:$M$116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5" i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J44" i="1"/>
  <c r="C43" i="1"/>
  <c r="C41" i="1" s="1"/>
  <c r="B43" i="1"/>
  <c r="B44" i="1" s="1"/>
  <c r="J40" i="1"/>
  <c r="C40" i="1"/>
  <c r="C19" i="1"/>
  <c r="J18" i="1"/>
  <c r="C18" i="1"/>
  <c r="M16" i="1"/>
  <c r="G16" i="1"/>
  <c r="M15" i="1"/>
  <c r="J15" i="1"/>
  <c r="M14" i="1"/>
  <c r="J14" i="1"/>
  <c r="C9" i="1"/>
  <c r="E14" i="1" s="1"/>
  <c r="C8" i="1"/>
  <c r="M5" i="1"/>
  <c r="B45" i="1" l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G5" i="1"/>
  <c r="J17" i="1"/>
  <c r="E15" i="1"/>
  <c r="E24" i="1"/>
  <c r="J6" i="1" s="1"/>
  <c r="D43" i="1"/>
  <c r="C44" i="1"/>
  <c r="K43" i="1"/>
  <c r="C22" i="1"/>
  <c r="I52" i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G19" i="1"/>
  <c r="F18" i="1"/>
  <c r="C45" i="1" l="1"/>
  <c r="C46" i="1" s="1"/>
  <c r="C47" i="1" s="1"/>
  <c r="C48" i="1" s="1"/>
  <c r="C49" i="1" s="1"/>
  <c r="C50" i="1" s="1"/>
  <c r="C51" i="1" s="1"/>
  <c r="C52" i="1" s="1"/>
  <c r="J43" i="1"/>
  <c r="E43" i="1" s="1"/>
  <c r="F49" i="1"/>
  <c r="E49" i="1" s="1"/>
  <c r="F50" i="1"/>
  <c r="E50" i="1" s="1"/>
  <c r="F47" i="1"/>
  <c r="E47" i="1" s="1"/>
  <c r="F44" i="1"/>
  <c r="F51" i="1"/>
  <c r="E51" i="1" s="1"/>
  <c r="F45" i="1"/>
  <c r="E45" i="1" s="1"/>
  <c r="F24" i="1"/>
  <c r="F46" i="1"/>
  <c r="E46" i="1" s="1"/>
  <c r="F48" i="1"/>
  <c r="E48" i="1" s="1"/>
  <c r="F111" i="1"/>
  <c r="F103" i="1"/>
  <c r="F95" i="1"/>
  <c r="F87" i="1"/>
  <c r="F79" i="1"/>
  <c r="F71" i="1"/>
  <c r="F63" i="1"/>
  <c r="F55" i="1"/>
  <c r="F110" i="1"/>
  <c r="F102" i="1"/>
  <c r="F94" i="1"/>
  <c r="F86" i="1"/>
  <c r="F78" i="1"/>
  <c r="F70" i="1"/>
  <c r="F62" i="1"/>
  <c r="F54" i="1"/>
  <c r="F113" i="1"/>
  <c r="F107" i="1"/>
  <c r="F101" i="1"/>
  <c r="F81" i="1"/>
  <c r="F75" i="1"/>
  <c r="F69" i="1"/>
  <c r="F115" i="1"/>
  <c r="F109" i="1"/>
  <c r="F89" i="1"/>
  <c r="F114" i="1"/>
  <c r="F108" i="1"/>
  <c r="F88" i="1"/>
  <c r="F82" i="1"/>
  <c r="F76" i="1"/>
  <c r="F56" i="1"/>
  <c r="F83" i="1"/>
  <c r="F77" i="1"/>
  <c r="F100" i="1"/>
  <c r="F98" i="1"/>
  <c r="F96" i="1"/>
  <c r="F64" i="1"/>
  <c r="F84" i="1"/>
  <c r="F73" i="1"/>
  <c r="F67" i="1"/>
  <c r="F57" i="1"/>
  <c r="F99" i="1"/>
  <c r="F52" i="1"/>
  <c r="F91" i="1"/>
  <c r="F80" i="1"/>
  <c r="F112" i="1"/>
  <c r="F85" i="1"/>
  <c r="F74" i="1"/>
  <c r="F106" i="1"/>
  <c r="F104" i="1"/>
  <c r="F68" i="1"/>
  <c r="F61" i="1"/>
  <c r="F92" i="1"/>
  <c r="F90" i="1"/>
  <c r="F59" i="1"/>
  <c r="F105" i="1"/>
  <c r="F65" i="1"/>
  <c r="F97" i="1"/>
  <c r="F60" i="1"/>
  <c r="F93" i="1"/>
  <c r="F72" i="1"/>
  <c r="F58" i="1"/>
  <c r="F66" i="1"/>
  <c r="F53" i="1"/>
  <c r="J10" i="1" l="1"/>
  <c r="J7" i="1"/>
  <c r="G17" i="1"/>
  <c r="C53" i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F41" i="1"/>
  <c r="E44" i="1"/>
  <c r="K44" i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H41" i="1"/>
  <c r="G110" i="1" l="1"/>
  <c r="J110" i="1" s="1"/>
  <c r="E110" i="1" s="1"/>
  <c r="G102" i="1"/>
  <c r="J102" i="1" s="1"/>
  <c r="E102" i="1" s="1"/>
  <c r="G94" i="1"/>
  <c r="J94" i="1" s="1"/>
  <c r="E94" i="1" s="1"/>
  <c r="G86" i="1"/>
  <c r="J86" i="1" s="1"/>
  <c r="E86" i="1" s="1"/>
  <c r="G78" i="1"/>
  <c r="J78" i="1" s="1"/>
  <c r="E78" i="1" s="1"/>
  <c r="G70" i="1"/>
  <c r="J70" i="1" s="1"/>
  <c r="E70" i="1" s="1"/>
  <c r="G62" i="1"/>
  <c r="J62" i="1" s="1"/>
  <c r="E62" i="1" s="1"/>
  <c r="G54" i="1"/>
  <c r="J54" i="1" s="1"/>
  <c r="E54" i="1" s="1"/>
  <c r="G109" i="1"/>
  <c r="J109" i="1" s="1"/>
  <c r="E109" i="1" s="1"/>
  <c r="G101" i="1"/>
  <c r="J101" i="1" s="1"/>
  <c r="E101" i="1" s="1"/>
  <c r="G93" i="1"/>
  <c r="J93" i="1" s="1"/>
  <c r="E93" i="1" s="1"/>
  <c r="G85" i="1"/>
  <c r="J85" i="1" s="1"/>
  <c r="E85" i="1" s="1"/>
  <c r="G77" i="1"/>
  <c r="J77" i="1" s="1"/>
  <c r="E77" i="1" s="1"/>
  <c r="G69" i="1"/>
  <c r="J69" i="1" s="1"/>
  <c r="E69" i="1" s="1"/>
  <c r="G61" i="1"/>
  <c r="J61" i="1" s="1"/>
  <c r="E61" i="1" s="1"/>
  <c r="G53" i="1"/>
  <c r="J53" i="1" s="1"/>
  <c r="E53" i="1" s="1"/>
  <c r="G114" i="1"/>
  <c r="J114" i="1" s="1"/>
  <c r="E114" i="1" s="1"/>
  <c r="G108" i="1"/>
  <c r="J108" i="1" s="1"/>
  <c r="E108" i="1" s="1"/>
  <c r="G88" i="1"/>
  <c r="J88" i="1" s="1"/>
  <c r="E88" i="1" s="1"/>
  <c r="G82" i="1"/>
  <c r="J82" i="1" s="1"/>
  <c r="E82" i="1" s="1"/>
  <c r="G76" i="1"/>
  <c r="J76" i="1" s="1"/>
  <c r="E76" i="1" s="1"/>
  <c r="G56" i="1"/>
  <c r="J56" i="1" s="1"/>
  <c r="E56" i="1" s="1"/>
  <c r="G84" i="1"/>
  <c r="J84" i="1" s="1"/>
  <c r="E84" i="1" s="1"/>
  <c r="G115" i="1"/>
  <c r="J115" i="1" s="1"/>
  <c r="E115" i="1" s="1"/>
  <c r="G95" i="1"/>
  <c r="J95" i="1" s="1"/>
  <c r="E95" i="1" s="1"/>
  <c r="G89" i="1"/>
  <c r="J89" i="1" s="1"/>
  <c r="E89" i="1" s="1"/>
  <c r="G83" i="1"/>
  <c r="J83" i="1" s="1"/>
  <c r="E83" i="1" s="1"/>
  <c r="G63" i="1"/>
  <c r="J63" i="1" s="1"/>
  <c r="E63" i="1" s="1"/>
  <c r="G57" i="1"/>
  <c r="J57" i="1" s="1"/>
  <c r="E57" i="1" s="1"/>
  <c r="G96" i="1"/>
  <c r="J96" i="1" s="1"/>
  <c r="E96" i="1" s="1"/>
  <c r="G90" i="1"/>
  <c r="J90" i="1" s="1"/>
  <c r="E90" i="1" s="1"/>
  <c r="G92" i="1"/>
  <c r="J92" i="1" s="1"/>
  <c r="E92" i="1" s="1"/>
  <c r="G81" i="1"/>
  <c r="J81" i="1" s="1"/>
  <c r="E81" i="1" s="1"/>
  <c r="G79" i="1"/>
  <c r="J79" i="1" s="1"/>
  <c r="E79" i="1" s="1"/>
  <c r="G59" i="1"/>
  <c r="J59" i="1" s="1"/>
  <c r="E59" i="1" s="1"/>
  <c r="G107" i="1"/>
  <c r="J107" i="1" s="1"/>
  <c r="E107" i="1" s="1"/>
  <c r="G103" i="1"/>
  <c r="J103" i="1" s="1"/>
  <c r="E103" i="1" s="1"/>
  <c r="G65" i="1"/>
  <c r="J65" i="1" s="1"/>
  <c r="E65" i="1" s="1"/>
  <c r="G60" i="1"/>
  <c r="J60" i="1" s="1"/>
  <c r="E60" i="1" s="1"/>
  <c r="G91" i="1"/>
  <c r="J91" i="1" s="1"/>
  <c r="E91" i="1" s="1"/>
  <c r="G80" i="1"/>
  <c r="J80" i="1" s="1"/>
  <c r="E80" i="1" s="1"/>
  <c r="G112" i="1"/>
  <c r="J112" i="1" s="1"/>
  <c r="E112" i="1" s="1"/>
  <c r="G72" i="1"/>
  <c r="J72" i="1" s="1"/>
  <c r="E72" i="1" s="1"/>
  <c r="G58" i="1"/>
  <c r="J58" i="1" s="1"/>
  <c r="E58" i="1" s="1"/>
  <c r="G106" i="1"/>
  <c r="J106" i="1" s="1"/>
  <c r="E106" i="1" s="1"/>
  <c r="G66" i="1"/>
  <c r="J66" i="1" s="1"/>
  <c r="E66" i="1" s="1"/>
  <c r="G98" i="1"/>
  <c r="J98" i="1" s="1"/>
  <c r="E98" i="1" s="1"/>
  <c r="G64" i="1"/>
  <c r="J64" i="1" s="1"/>
  <c r="E64" i="1" s="1"/>
  <c r="G113" i="1"/>
  <c r="J113" i="1" s="1"/>
  <c r="E113" i="1" s="1"/>
  <c r="G111" i="1"/>
  <c r="J111" i="1" s="1"/>
  <c r="E111" i="1" s="1"/>
  <c r="G75" i="1"/>
  <c r="J75" i="1" s="1"/>
  <c r="E75" i="1" s="1"/>
  <c r="G73" i="1"/>
  <c r="J73" i="1" s="1"/>
  <c r="E73" i="1" s="1"/>
  <c r="G71" i="1"/>
  <c r="J71" i="1" s="1"/>
  <c r="E71" i="1" s="1"/>
  <c r="G105" i="1"/>
  <c r="J105" i="1" s="1"/>
  <c r="E105" i="1" s="1"/>
  <c r="G67" i="1"/>
  <c r="J67" i="1" s="1"/>
  <c r="E67" i="1" s="1"/>
  <c r="G99" i="1"/>
  <c r="J99" i="1" s="1"/>
  <c r="E99" i="1" s="1"/>
  <c r="G97" i="1"/>
  <c r="J97" i="1" s="1"/>
  <c r="E97" i="1" s="1"/>
  <c r="G52" i="1"/>
  <c r="J52" i="1" s="1"/>
  <c r="E52" i="1" s="1"/>
  <c r="E41" i="1" s="1"/>
  <c r="J16" i="1" s="1"/>
  <c r="J13" i="1" s="1"/>
  <c r="G74" i="1"/>
  <c r="J74" i="1" s="1"/>
  <c r="E74" i="1" s="1"/>
  <c r="G104" i="1"/>
  <c r="J104" i="1" s="1"/>
  <c r="E104" i="1" s="1"/>
  <c r="G68" i="1"/>
  <c r="J68" i="1" s="1"/>
  <c r="E68" i="1" s="1"/>
  <c r="G55" i="1"/>
  <c r="J55" i="1" s="1"/>
  <c r="E55" i="1" s="1"/>
  <c r="G100" i="1"/>
  <c r="J100" i="1" s="1"/>
  <c r="E100" i="1" s="1"/>
  <c r="G87" i="1"/>
  <c r="J87" i="1" s="1"/>
  <c r="E87" i="1" s="1"/>
  <c r="G15" i="1"/>
  <c r="I41" i="1"/>
  <c r="J41" i="1"/>
  <c r="M17" i="1" l="1"/>
  <c r="G24" i="1"/>
  <c r="C23" i="1" l="1"/>
  <c r="M18" i="1"/>
</calcChain>
</file>

<file path=xl/sharedStrings.xml><?xml version="1.0" encoding="utf-8"?>
<sst xmlns="http://schemas.openxmlformats.org/spreadsheetml/2006/main" count="69" uniqueCount="65">
  <si>
    <t>KAVAK
AUTO</t>
  </si>
  <si>
    <t>Nombre de Cliente</t>
  </si>
  <si>
    <t>CLAVE</t>
  </si>
  <si>
    <t>ANM010622</t>
  </si>
  <si>
    <t>HOJA 2</t>
  </si>
  <si>
    <t>Numero de contrato</t>
  </si>
  <si>
    <t>FORMULARIO</t>
  </si>
  <si>
    <t xml:space="preserve">CONCEPTO </t>
  </si>
  <si>
    <t>“CRÉDITO”</t>
  </si>
  <si>
    <t>Fecha de contrato</t>
  </si>
  <si>
    <t>Fecha 1er mensualidad</t>
  </si>
  <si>
    <t>PAGO PARCIAL DE ENGANCHE: MENSUAÑLIDAD INICIAL</t>
  </si>
  <si>
    <t>Comision por Apertura de credito</t>
  </si>
  <si>
    <t>Pago parcial de enganche</t>
  </si>
  <si>
    <t xml:space="preserve">VALOR ESTIMADO ACTUAL EN EL MERCADO </t>
  </si>
  <si>
    <t>Seguro de Vida</t>
  </si>
  <si>
    <t>N/A</t>
  </si>
  <si>
    <t>VALOR MAXIMO DE DISPERSIÓN</t>
  </si>
  <si>
    <t>Iva</t>
  </si>
  <si>
    <t>PLAN PAGO PUNTUAL</t>
  </si>
  <si>
    <t>72 MESES</t>
  </si>
  <si>
    <t>Monto de cada mensualidad inicial</t>
  </si>
  <si>
    <t>TABLA DE FACTORES</t>
  </si>
  <si>
    <t>COMISION POR APERTURA DE CREDITO</t>
  </si>
  <si>
    <t>PAGO PARCIAL ENGANCHE</t>
  </si>
  <si>
    <t>PAGO DE FINANCIAMIENTO</t>
  </si>
  <si>
    <t>CARACTULA DE CONTRATO DE APERTURA DE CREDITO SIMPLE</t>
  </si>
  <si>
    <t>HOJA 4</t>
  </si>
  <si>
    <t>Factor</t>
  </si>
  <si>
    <t>CAT</t>
  </si>
  <si>
    <t>CONCEPTO</t>
  </si>
  <si>
    <t>Comision por Apertura Auto</t>
  </si>
  <si>
    <t>Tasa de Interes Anual</t>
  </si>
  <si>
    <t>PAGO PARCIAL DE CRÉDITO</t>
  </si>
  <si>
    <t>IVA</t>
  </si>
  <si>
    <t>Monto del Credito</t>
  </si>
  <si>
    <t>Seguro de vida</t>
  </si>
  <si>
    <t>Monto Total a Pagar</t>
  </si>
  <si>
    <t>Intereses ordinarios</t>
  </si>
  <si>
    <t>Interes Ordinario</t>
  </si>
  <si>
    <t>Monto por apertura</t>
  </si>
  <si>
    <t>Impuesto al valor agregado (16%)</t>
  </si>
  <si>
    <t>Factor de Abono a Enganche</t>
  </si>
  <si>
    <t>Comision por Apertura</t>
  </si>
  <si>
    <r>
      <t>“</t>
    </r>
    <r>
      <rPr>
        <sz val="12"/>
        <color theme="1"/>
        <rFont val="Calibri"/>
        <family val="2"/>
        <scheme val="minor"/>
      </rPr>
      <t>MENSUALIDAD</t>
    </r>
    <r>
      <rPr>
        <b/>
        <sz val="12"/>
        <color theme="1"/>
        <rFont val="Calibri"/>
        <family val="2"/>
        <scheme val="minor"/>
      </rPr>
      <t>”</t>
    </r>
  </si>
  <si>
    <t>Factor de abono a Capital</t>
  </si>
  <si>
    <t xml:space="preserve"> Factor de investigacion</t>
  </si>
  <si>
    <t>Factor Dispersión</t>
  </si>
  <si>
    <t>Comision Contrato</t>
  </si>
  <si>
    <t>Factor mensualidad</t>
  </si>
  <si>
    <t>TOTAL</t>
  </si>
  <si>
    <t>ANEXO C Tabla de amortizaciónes. FECHAS DE PAGO 01 DE CADA MES</t>
  </si>
  <si>
    <t>R.F.C. ANM2202052W9 / TELÉFONO DE SERVICIO AL CLIENTE 5589265505,5589266212</t>
  </si>
  <si>
    <t>Cliente:</t>
  </si>
  <si>
    <t>Contrato:</t>
  </si>
  <si>
    <t>FECHA</t>
  </si>
  <si>
    <t>Capital</t>
  </si>
  <si>
    <t>Comisiones: Apertura / Disposición</t>
  </si>
  <si>
    <t>Total Operación</t>
  </si>
  <si>
    <t>ENGANCHE / CAPITAL</t>
  </si>
  <si>
    <t>Interes Ordinarios tasa fija *</t>
  </si>
  <si>
    <t>Interes Moratorios tasa fija *</t>
  </si>
  <si>
    <t>Vida</t>
  </si>
  <si>
    <t>Saldo Final</t>
  </si>
  <si>
    <t>* A la tasa especificada en la "Caratula del contrato"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</si>
</sst>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"/>
    <numFmt numFmtId="165" formatCode="0.0000%"/>
    <numFmt numFmtId="166" formatCode="_-&quot;$&quot;* #,##0.000_-;\-&quot;$&quot;* #,##0.000_-;_-&quot;$&quot;* &quot;-&quot;???_-;_-@_-"/>
    <numFmt numFmtId="167" formatCode="0.000%"/>
    <numFmt numFmtId="168" formatCode="0.0000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rgb="FF000000"/>
      <name val="Calibri"/>
      <family val="2"/>
    </font>
    <font>
      <b/>
      <i/>
      <u/>
      <sz val="48"/>
      <color rgb="FF000000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8"/>
      <name val="Calibri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.5"/>
      <color theme="1"/>
      <name val="Arial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i/>
      <sz val="16"/>
      <name val="Arial Nova"/>
      <family val="2"/>
    </font>
    <font>
      <b/>
      <i/>
      <sz val="28"/>
      <name val="Arial Nova"/>
      <family val="2"/>
    </font>
    <font>
      <sz val="11"/>
      <color rgb="FFFFFF00"/>
      <name val="Calibri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4" fontId="5" fillId="2" borderId="1" xfId="0" applyNumberFormat="1" applyFont="1" applyFill="1" applyBorder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vertical="center"/>
      <protection hidden="1"/>
    </xf>
    <xf numFmtId="49" fontId="7" fillId="2" borderId="1" xfId="3" applyNumberFormat="1" applyFont="1" applyFill="1" applyBorder="1" applyAlignment="1" applyProtection="1">
      <alignment horizontal="center" vertical="center"/>
      <protection hidden="1"/>
    </xf>
    <xf numFmtId="9" fontId="7" fillId="2" borderId="1" xfId="3" applyFont="1" applyFill="1" applyBorder="1" applyAlignment="1" applyProtection="1">
      <alignment horizontal="center" vertical="center"/>
      <protection hidden="1"/>
    </xf>
    <xf numFmtId="49" fontId="8" fillId="0" borderId="0" xfId="3" applyNumberFormat="1" applyFont="1" applyFill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9" fontId="8" fillId="0" borderId="0" xfId="3" applyFont="1" applyFill="1" applyBorder="1" applyAlignment="1" applyProtection="1">
      <alignment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hidden="1"/>
    </xf>
    <xf numFmtId="0" fontId="11" fillId="0" borderId="4" xfId="0" applyFont="1" applyBorder="1" applyAlignment="1" applyProtection="1">
      <alignment horizontal="center" vertical="center" wrapText="1"/>
      <protection hidden="1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4" fontId="12" fillId="2" borderId="1" xfId="0" applyNumberFormat="1" applyFont="1" applyFill="1" applyBorder="1" applyAlignment="1" applyProtection="1">
      <alignment horizontal="center" vertical="center"/>
      <protection hidden="1"/>
    </xf>
    <xf numFmtId="14" fontId="6" fillId="2" borderId="1" xfId="0" applyNumberFormat="1" applyFont="1" applyFill="1" applyBorder="1" applyAlignment="1" applyProtection="1">
      <alignment vertical="center" wrapText="1"/>
      <protection hidden="1"/>
    </xf>
    <xf numFmtId="9" fontId="8" fillId="0" borderId="0" xfId="3" applyFont="1" applyFill="1" applyBorder="1" applyAlignment="1" applyProtection="1">
      <alignment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10" fontId="13" fillId="4" borderId="1" xfId="0" applyNumberFormat="1" applyFont="1" applyFill="1" applyBorder="1" applyAlignment="1" applyProtection="1">
      <alignment horizontal="center" vertical="center" wrapText="1"/>
      <protection hidden="1"/>
    </xf>
    <xf numFmtId="4" fontId="14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" fontId="14" fillId="0" borderId="0" xfId="0" applyNumberFormat="1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44" fontId="15" fillId="0" borderId="1" xfId="0" applyNumberFormat="1" applyFont="1" applyBorder="1" applyAlignment="1" applyProtection="1">
      <alignment vertical="center" wrapText="1"/>
      <protection hidden="1"/>
    </xf>
    <xf numFmtId="4" fontId="16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4" fontId="5" fillId="0" borderId="1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justify" vertical="center" wrapText="1"/>
      <protection hidden="1"/>
    </xf>
    <xf numFmtId="10" fontId="13" fillId="4" borderId="0" xfId="0" applyNumberFormat="1" applyFont="1" applyFill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left" vertical="center" wrapText="1"/>
      <protection hidden="1"/>
    </xf>
    <xf numFmtId="44" fontId="17" fillId="3" borderId="1" xfId="2" applyFont="1" applyFill="1" applyBorder="1" applyAlignment="1" applyProtection="1">
      <alignment horizontal="center" vertical="center"/>
      <protection locked="0"/>
    </xf>
    <xf numFmtId="44" fontId="17" fillId="3" borderId="0" xfId="2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44" fontId="5" fillId="5" borderId="1" xfId="0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justify" vertical="center" wrapText="1"/>
      <protection hidden="1"/>
    </xf>
    <xf numFmtId="10" fontId="11" fillId="4" borderId="0" xfId="0" applyNumberFormat="1" applyFont="1" applyFill="1" applyAlignment="1" applyProtection="1">
      <alignment horizontal="center" vertical="center" wrapText="1"/>
      <protection hidden="1"/>
    </xf>
    <xf numFmtId="44" fontId="17" fillId="2" borderId="1" xfId="2" applyFont="1" applyFill="1" applyBorder="1" applyAlignment="1" applyProtection="1">
      <alignment horizontal="center" vertical="center"/>
      <protection hidden="1"/>
    </xf>
    <xf numFmtId="44" fontId="17" fillId="0" borderId="0" xfId="2" applyFont="1" applyFill="1" applyBorder="1" applyAlignment="1" applyProtection="1">
      <alignment horizontal="center" vertical="center"/>
      <protection hidden="1"/>
    </xf>
    <xf numFmtId="44" fontId="8" fillId="0" borderId="0" xfId="0" applyNumberFormat="1" applyFont="1" applyAlignment="1" applyProtection="1">
      <alignment vertical="center"/>
      <protection hidden="1"/>
    </xf>
    <xf numFmtId="44" fontId="8" fillId="0" borderId="0" xfId="2" applyFont="1" applyFill="1" applyBorder="1" applyAlignment="1" applyProtection="1">
      <alignment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19" fillId="2" borderId="1" xfId="0" applyFont="1" applyFill="1" applyBorder="1" applyAlignment="1" applyProtection="1">
      <alignment vertical="center" wrapText="1"/>
      <protection hidden="1"/>
    </xf>
    <xf numFmtId="0" fontId="19" fillId="2" borderId="1" xfId="0" applyFont="1" applyFill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vertical="center" wrapText="1"/>
      <protection hidden="1"/>
    </xf>
    <xf numFmtId="44" fontId="11" fillId="0" borderId="1" xfId="0" applyNumberFormat="1" applyFont="1" applyBorder="1" applyAlignment="1" applyProtection="1">
      <alignment vertical="center"/>
      <protection hidden="1"/>
    </xf>
    <xf numFmtId="165" fontId="18" fillId="0" borderId="0" xfId="3" applyNumberFormat="1" applyFont="1" applyFill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18" fillId="0" borderId="0" xfId="0" applyFont="1" applyProtection="1">
      <protection hidden="1"/>
    </xf>
    <xf numFmtId="44" fontId="18" fillId="0" borderId="0" xfId="2" applyFont="1" applyBorder="1" applyAlignment="1" applyProtection="1">
      <alignment horizontal="center" vertical="center" wrapText="1"/>
      <protection hidden="1"/>
    </xf>
    <xf numFmtId="165" fontId="18" fillId="0" borderId="0" xfId="0" applyNumberFormat="1" applyFo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0" fontId="8" fillId="2" borderId="1" xfId="0" applyNumberFormat="1" applyFont="1" applyFill="1" applyBorder="1" applyAlignment="1" applyProtection="1">
      <alignment horizontal="center" vertical="center" wrapText="1"/>
      <protection hidden="1"/>
    </xf>
    <xf numFmtId="44" fontId="8" fillId="6" borderId="1" xfId="0" applyNumberFormat="1" applyFont="1" applyFill="1" applyBorder="1" applyAlignment="1" applyProtection="1">
      <alignment horizontal="center" vertical="center" wrapText="1"/>
      <protection hidden="1"/>
    </xf>
    <xf numFmtId="44" fontId="8" fillId="2" borderId="1" xfId="2" applyFont="1" applyFill="1" applyBorder="1" applyAlignment="1" applyProtection="1">
      <alignment horizontal="center" vertical="center" wrapText="1"/>
      <protection hidden="1"/>
    </xf>
    <xf numFmtId="0" fontId="20" fillId="2" borderId="1" xfId="0" applyFont="1" applyFill="1" applyBorder="1" applyAlignment="1" applyProtection="1">
      <alignment horizontal="center" vertical="center" wrapText="1"/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left" vertical="center"/>
      <protection hidden="1"/>
    </xf>
    <xf numFmtId="10" fontId="5" fillId="2" borderId="1" xfId="0" applyNumberFormat="1" applyFont="1" applyFill="1" applyBorder="1" applyAlignment="1" applyProtection="1">
      <alignment horizontal="center" vertical="center"/>
      <protection hidden="1"/>
    </xf>
    <xf numFmtId="10" fontId="5" fillId="0" borderId="1" xfId="0" applyNumberFormat="1" applyFont="1" applyBorder="1" applyAlignment="1" applyProtection="1">
      <alignment horizontal="center" vertical="center"/>
      <protection hidden="1"/>
    </xf>
    <xf numFmtId="44" fontId="11" fillId="6" borderId="1" xfId="2" applyFont="1" applyFill="1" applyBorder="1" applyProtection="1">
      <protection hidden="1"/>
    </xf>
    <xf numFmtId="44" fontId="5" fillId="0" borderId="1" xfId="2" applyFont="1" applyBorder="1" applyProtection="1">
      <protection hidden="1"/>
    </xf>
    <xf numFmtId="0" fontId="5" fillId="0" borderId="1" xfId="0" applyFont="1" applyBorder="1" applyProtection="1">
      <protection hidden="1"/>
    </xf>
    <xf numFmtId="10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22" fillId="0" borderId="0" xfId="3" applyNumberFormat="1" applyFont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44" fontId="5" fillId="0" borderId="1" xfId="2" applyFont="1" applyFill="1" applyBorder="1" applyAlignment="1" applyProtection="1">
      <alignment horizontal="center" vertical="center"/>
      <protection hidden="1"/>
    </xf>
    <xf numFmtId="44" fontId="5" fillId="6" borderId="1" xfId="2" applyFont="1" applyFill="1" applyBorder="1" applyAlignment="1" applyProtection="1">
      <alignment horizontal="center" vertical="center"/>
      <protection hidden="1"/>
    </xf>
    <xf numFmtId="10" fontId="11" fillId="0" borderId="1" xfId="0" applyNumberFormat="1" applyFont="1" applyBorder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justify" vertical="center" wrapText="1"/>
      <protection hidden="1"/>
    </xf>
    <xf numFmtId="10" fontId="23" fillId="0" borderId="6" xfId="0" applyNumberFormat="1" applyFont="1" applyBorder="1" applyAlignment="1" applyProtection="1">
      <alignment horizontal="center" vertical="center" wrapText="1"/>
      <protection hidden="1"/>
    </xf>
    <xf numFmtId="9" fontId="0" fillId="0" borderId="0" xfId="3" applyFont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6" fontId="18" fillId="0" borderId="0" xfId="0" applyNumberFormat="1" applyFont="1" applyProtection="1">
      <protection hidden="1"/>
    </xf>
    <xf numFmtId="44" fontId="11" fillId="0" borderId="1" xfId="0" applyNumberFormat="1" applyFont="1" applyBorder="1" applyAlignment="1" applyProtection="1">
      <alignment horizontal="center" vertical="center"/>
      <protection hidden="1"/>
    </xf>
    <xf numFmtId="165" fontId="18" fillId="0" borderId="0" xfId="3" applyNumberFormat="1" applyFont="1" applyAlignment="1" applyProtection="1">
      <alignment horizontal="center"/>
      <protection hidden="1"/>
    </xf>
    <xf numFmtId="10" fontId="23" fillId="4" borderId="6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167" fontId="22" fillId="0" borderId="0" xfId="3" applyNumberFormat="1" applyFont="1" applyAlignment="1" applyProtection="1">
      <alignment horizontal="center"/>
      <protection hidden="1"/>
    </xf>
    <xf numFmtId="167" fontId="23" fillId="4" borderId="6" xfId="0" applyNumberFormat="1" applyFont="1" applyFill="1" applyBorder="1" applyAlignment="1" applyProtection="1">
      <alignment horizontal="center" vertical="center" wrapText="1"/>
      <protection hidden="1"/>
    </xf>
    <xf numFmtId="10" fontId="11" fillId="2" borderId="1" xfId="0" applyNumberFormat="1" applyFont="1" applyFill="1" applyBorder="1" applyAlignment="1" applyProtection="1">
      <alignment horizontal="center" vertical="center"/>
      <protection hidden="1"/>
    </xf>
    <xf numFmtId="44" fontId="11" fillId="6" borderId="1" xfId="2" applyFont="1" applyFill="1" applyBorder="1" applyAlignment="1" applyProtection="1">
      <alignment horizontal="center" vertical="center"/>
      <protection hidden="1"/>
    </xf>
    <xf numFmtId="10" fontId="22" fillId="0" borderId="0" xfId="3" applyNumberFormat="1" applyFont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justify" vertical="center" wrapText="1"/>
      <protection hidden="1"/>
    </xf>
    <xf numFmtId="165" fontId="21" fillId="0" borderId="6" xfId="0" applyNumberFormat="1" applyFont="1" applyBorder="1" applyAlignment="1" applyProtection="1">
      <alignment horizontal="center" vertical="center" wrapText="1"/>
      <protection hidden="1"/>
    </xf>
    <xf numFmtId="44" fontId="11" fillId="2" borderId="1" xfId="2" applyFont="1" applyFill="1" applyBorder="1" applyProtection="1">
      <protection hidden="1"/>
    </xf>
    <xf numFmtId="0" fontId="24" fillId="0" borderId="0" xfId="0" applyFont="1" applyAlignment="1" applyProtection="1">
      <alignment horizontal="justify" vertical="center"/>
      <protection hidden="1"/>
    </xf>
    <xf numFmtId="44" fontId="11" fillId="0" borderId="1" xfId="2" applyFont="1" applyBorder="1" applyProtection="1">
      <protection hidden="1"/>
    </xf>
    <xf numFmtId="0" fontId="25" fillId="0" borderId="0" xfId="0" applyFont="1" applyProtection="1">
      <protection hidden="1"/>
    </xf>
    <xf numFmtId="0" fontId="8" fillId="2" borderId="1" xfId="0" applyFont="1" applyFill="1" applyBorder="1" applyProtection="1">
      <protection hidden="1"/>
    </xf>
    <xf numFmtId="44" fontId="8" fillId="2" borderId="7" xfId="2" applyFont="1" applyFill="1" applyBorder="1" applyAlignment="1" applyProtection="1">
      <alignment horizontal="center"/>
      <protection hidden="1"/>
    </xf>
    <xf numFmtId="44" fontId="8" fillId="2" borderId="8" xfId="2" applyFont="1" applyFill="1" applyBorder="1" applyAlignment="1" applyProtection="1">
      <alignment horizontal="center"/>
      <protection hidden="1"/>
    </xf>
    <xf numFmtId="44" fontId="5" fillId="2" borderId="1" xfId="2" applyFont="1" applyFill="1" applyBorder="1" applyAlignment="1" applyProtection="1">
      <alignment horizontal="center" vertical="center"/>
      <protection hidden="1"/>
    </xf>
    <xf numFmtId="44" fontId="0" fillId="0" borderId="0" xfId="2" applyFont="1" applyProtection="1">
      <protection hidden="1"/>
    </xf>
    <xf numFmtId="165" fontId="5" fillId="2" borderId="1" xfId="0" applyNumberFormat="1" applyFont="1" applyFill="1" applyBorder="1" applyAlignment="1" applyProtection="1">
      <alignment horizontal="center" vertical="center"/>
      <protection hidden="1"/>
    </xf>
    <xf numFmtId="165" fontId="5" fillId="0" borderId="1" xfId="3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10" fontId="5" fillId="7" borderId="1" xfId="0" applyNumberFormat="1" applyFont="1" applyFill="1" applyBorder="1" applyAlignment="1" applyProtection="1">
      <alignment horizontal="center" vertical="center"/>
      <protection hidden="1"/>
    </xf>
    <xf numFmtId="44" fontId="11" fillId="7" borderId="1" xfId="2" applyFont="1" applyFill="1" applyBorder="1" applyAlignment="1" applyProtection="1">
      <protection hidden="1"/>
    </xf>
    <xf numFmtId="168" fontId="0" fillId="0" borderId="0" xfId="3" applyNumberFormat="1" applyFont="1" applyProtection="1">
      <protection hidden="1"/>
    </xf>
    <xf numFmtId="14" fontId="0" fillId="0" borderId="0" xfId="0" applyNumberFormat="1" applyProtection="1">
      <protection hidden="1"/>
    </xf>
    <xf numFmtId="44" fontId="0" fillId="0" borderId="0" xfId="2" applyFont="1" applyAlignment="1" applyProtection="1">
      <protection hidden="1"/>
    </xf>
    <xf numFmtId="10" fontId="0" fillId="0" borderId="0" xfId="0" applyNumberForma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wrapText="1"/>
      <protection hidden="1"/>
    </xf>
    <xf numFmtId="10" fontId="0" fillId="0" borderId="0" xfId="3" applyNumberFormat="1" applyFont="1" applyProtection="1">
      <protection hidden="1"/>
    </xf>
    <xf numFmtId="0" fontId="0" fillId="3" borderId="0" xfId="0" applyFill="1" applyProtection="1">
      <protection hidden="1"/>
    </xf>
    <xf numFmtId="0" fontId="18" fillId="3" borderId="0" xfId="0" applyFont="1" applyFill="1" applyProtection="1">
      <protection hidden="1"/>
    </xf>
    <xf numFmtId="0" fontId="8" fillId="3" borderId="0" xfId="0" applyFont="1" applyFill="1" applyProtection="1">
      <protection hidden="1"/>
    </xf>
    <xf numFmtId="44" fontId="27" fillId="3" borderId="0" xfId="0" applyNumberFormat="1" applyFont="1" applyFill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9" fontId="22" fillId="3" borderId="0" xfId="3" applyFont="1" applyFill="1" applyBorder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44" fontId="0" fillId="3" borderId="0" xfId="0" applyNumberFormat="1" applyFill="1" applyProtection="1">
      <protection hidden="1"/>
    </xf>
    <xf numFmtId="44" fontId="18" fillId="3" borderId="0" xfId="0" applyNumberFormat="1" applyFont="1" applyFill="1" applyProtection="1">
      <protection hidden="1"/>
    </xf>
    <xf numFmtId="0" fontId="27" fillId="3" borderId="0" xfId="0" applyFont="1" applyFill="1" applyProtection="1">
      <protection hidden="1"/>
    </xf>
    <xf numFmtId="0" fontId="28" fillId="8" borderId="0" xfId="0" applyFont="1" applyFill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" fillId="9" borderId="0" xfId="0" applyFont="1" applyFill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vertic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0" fillId="10" borderId="0" xfId="0" applyFill="1" applyProtection="1">
      <protection hidden="1"/>
    </xf>
    <xf numFmtId="0" fontId="31" fillId="10" borderId="0" xfId="0" applyFont="1" applyFill="1" applyProtection="1">
      <protection hidden="1"/>
    </xf>
    <xf numFmtId="44" fontId="31" fillId="10" borderId="0" xfId="0" applyNumberFormat="1" applyFont="1" applyFill="1" applyProtection="1">
      <protection hidden="1"/>
    </xf>
    <xf numFmtId="43" fontId="31" fillId="10" borderId="0" xfId="1" applyFont="1" applyFill="1" applyProtection="1">
      <protection hidden="1"/>
    </xf>
    <xf numFmtId="9" fontId="31" fillId="10" borderId="0" xfId="3" applyFont="1" applyFill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 applyProtection="1">
      <alignment horizontal="center" vertical="center" wrapText="1"/>
      <protection hidden="1"/>
    </xf>
    <xf numFmtId="14" fontId="32" fillId="0" borderId="0" xfId="0" applyNumberFormat="1" applyFont="1" applyProtection="1">
      <protection hidden="1"/>
    </xf>
    <xf numFmtId="44" fontId="32" fillId="0" borderId="0" xfId="0" applyNumberFormat="1" applyFont="1" applyProtection="1">
      <protection hidden="1"/>
    </xf>
    <xf numFmtId="44" fontId="32" fillId="11" borderId="0" xfId="0" applyNumberFormat="1" applyFont="1" applyFill="1" applyProtection="1">
      <protection hidden="1"/>
    </xf>
    <xf numFmtId="44" fontId="32" fillId="12" borderId="0" xfId="0" applyNumberFormat="1" applyFont="1" applyFill="1" applyProtection="1">
      <protection hidden="1"/>
    </xf>
    <xf numFmtId="44" fontId="32" fillId="3" borderId="0" xfId="0" applyNumberFormat="1" applyFont="1" applyFill="1" applyProtection="1">
      <protection hidden="1"/>
    </xf>
    <xf numFmtId="0" fontId="0" fillId="13" borderId="0" xfId="0" applyFill="1" applyProtection="1">
      <protection hidden="1"/>
    </xf>
    <xf numFmtId="14" fontId="33" fillId="13" borderId="0" xfId="0" applyNumberFormat="1" applyFont="1" applyFill="1" applyAlignment="1" applyProtection="1">
      <alignment vertical="center"/>
      <protection hidden="1"/>
    </xf>
    <xf numFmtId="44" fontId="32" fillId="13" borderId="0" xfId="0" applyNumberFormat="1" applyFont="1" applyFill="1" applyProtection="1">
      <protection hidden="1"/>
    </xf>
    <xf numFmtId="0" fontId="32" fillId="13" borderId="0" xfId="0" applyFont="1" applyFill="1" applyProtection="1">
      <protection hidden="1"/>
    </xf>
    <xf numFmtId="0" fontId="32" fillId="0" borderId="0" xfId="0" applyFont="1" applyProtection="1">
      <protection hidden="1"/>
    </xf>
    <xf numFmtId="44" fontId="0" fillId="0" borderId="0" xfId="0" applyNumberForma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44" fontId="0" fillId="0" borderId="0" xfId="0" applyNumberFormat="1" applyProtection="1">
      <protection locked="0"/>
    </xf>
    <xf numFmtId="0" fontId="0" fillId="0" borderId="0" xfId="0" applyProtection="1">
      <protection locked="0"/>
    </xf>
    <xf numFmtId="43" fontId="22" fillId="0" borderId="0" xfId="1" applyFont="1" applyProtection="1"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izador%20team%20v2%20ultm.a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ASUS\Desktop\COTIZADORES\ADC\administracion\ANEXO%2520C%2520-%2520TABLA%2520DE%2520AMORTIZACION%252001122021%25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P."/>
      <sheetName val="COTIZADORES"/>
      <sheetName val="FECHAS"/>
      <sheetName val="PLAN PREMIER"/>
      <sheetName val="PREMIER 72"/>
      <sheetName val="PREMIER 84"/>
      <sheetName val="AMORTIZACION LIQUIDEZ"/>
      <sheetName val="AMORTIZACION  AUTO  60"/>
      <sheetName val="AMORTIZACION  AUTO  72"/>
      <sheetName val="AMORTIZACION  AUTO  84"/>
      <sheetName val="AMORTIZACION MOTO"/>
      <sheetName val="Hoja1"/>
    </sheetNames>
    <sheetDataSet>
      <sheetData sheetId="0"/>
      <sheetData sheetId="1">
        <row r="11">
          <cell r="B11">
            <v>261999</v>
          </cell>
        </row>
      </sheetData>
      <sheetData sheetId="2">
        <row r="2">
          <cell r="B2">
            <v>44197</v>
          </cell>
          <cell r="C2">
            <v>44228</v>
          </cell>
        </row>
        <row r="3">
          <cell r="B3">
            <v>44198</v>
          </cell>
          <cell r="C3">
            <v>44228</v>
          </cell>
        </row>
        <row r="4">
          <cell r="B4">
            <v>44199</v>
          </cell>
          <cell r="C4">
            <v>44228</v>
          </cell>
        </row>
        <row r="5">
          <cell r="B5">
            <v>44200</v>
          </cell>
          <cell r="C5">
            <v>44228</v>
          </cell>
        </row>
        <row r="6">
          <cell r="B6">
            <v>44201</v>
          </cell>
          <cell r="C6">
            <v>44228</v>
          </cell>
        </row>
        <row r="7">
          <cell r="B7">
            <v>44202</v>
          </cell>
          <cell r="C7">
            <v>44228</v>
          </cell>
        </row>
        <row r="8">
          <cell r="B8">
            <v>44203</v>
          </cell>
          <cell r="C8">
            <v>44228</v>
          </cell>
        </row>
        <row r="9">
          <cell r="B9">
            <v>44204</v>
          </cell>
          <cell r="C9">
            <v>44228</v>
          </cell>
        </row>
        <row r="10">
          <cell r="B10">
            <v>44205</v>
          </cell>
          <cell r="C10">
            <v>44228</v>
          </cell>
        </row>
        <row r="11">
          <cell r="B11">
            <v>44206</v>
          </cell>
          <cell r="C11">
            <v>44228</v>
          </cell>
        </row>
        <row r="12">
          <cell r="B12">
            <v>44207</v>
          </cell>
          <cell r="C12">
            <v>44228</v>
          </cell>
        </row>
        <row r="13">
          <cell r="B13">
            <v>44208</v>
          </cell>
          <cell r="C13">
            <v>44228</v>
          </cell>
        </row>
        <row r="14">
          <cell r="B14">
            <v>44209</v>
          </cell>
          <cell r="C14">
            <v>44228</v>
          </cell>
        </row>
        <row r="15">
          <cell r="B15">
            <v>44210</v>
          </cell>
          <cell r="C15">
            <v>44228</v>
          </cell>
        </row>
        <row r="16">
          <cell r="B16">
            <v>44211</v>
          </cell>
          <cell r="C16">
            <v>44228</v>
          </cell>
        </row>
        <row r="17">
          <cell r="B17">
            <v>44212</v>
          </cell>
          <cell r="C17">
            <v>44228</v>
          </cell>
        </row>
        <row r="18">
          <cell r="B18">
            <v>44213</v>
          </cell>
          <cell r="C18">
            <v>44228</v>
          </cell>
        </row>
        <row r="19">
          <cell r="B19">
            <v>44214</v>
          </cell>
          <cell r="C19">
            <v>44256</v>
          </cell>
        </row>
        <row r="20">
          <cell r="B20">
            <v>44215</v>
          </cell>
          <cell r="C20">
            <v>44256</v>
          </cell>
        </row>
        <row r="21">
          <cell r="B21">
            <v>44216</v>
          </cell>
          <cell r="C21">
            <v>44256</v>
          </cell>
        </row>
        <row r="22">
          <cell r="B22">
            <v>44217</v>
          </cell>
          <cell r="C22">
            <v>44256</v>
          </cell>
        </row>
        <row r="23">
          <cell r="B23">
            <v>44218</v>
          </cell>
          <cell r="C23">
            <v>44256</v>
          </cell>
        </row>
        <row r="24">
          <cell r="B24">
            <v>44219</v>
          </cell>
          <cell r="C24">
            <v>44256</v>
          </cell>
        </row>
        <row r="25">
          <cell r="B25">
            <v>44220</v>
          </cell>
          <cell r="C25">
            <v>44256</v>
          </cell>
        </row>
        <row r="26">
          <cell r="B26">
            <v>44221</v>
          </cell>
          <cell r="C26">
            <v>44256</v>
          </cell>
        </row>
        <row r="27">
          <cell r="B27">
            <v>44222</v>
          </cell>
          <cell r="C27">
            <v>44256</v>
          </cell>
        </row>
        <row r="28">
          <cell r="B28">
            <v>44223</v>
          </cell>
          <cell r="C28">
            <v>44256</v>
          </cell>
        </row>
        <row r="29">
          <cell r="B29">
            <v>44224</v>
          </cell>
          <cell r="C29">
            <v>44256</v>
          </cell>
        </row>
        <row r="30">
          <cell r="B30">
            <v>44225</v>
          </cell>
          <cell r="C30">
            <v>44256</v>
          </cell>
        </row>
        <row r="31">
          <cell r="B31">
            <v>44226</v>
          </cell>
          <cell r="C31">
            <v>44256</v>
          </cell>
        </row>
        <row r="32">
          <cell r="B32">
            <v>44227</v>
          </cell>
          <cell r="C32">
            <v>44256</v>
          </cell>
        </row>
        <row r="33">
          <cell r="B33">
            <v>44228</v>
          </cell>
          <cell r="C33">
            <v>44256</v>
          </cell>
        </row>
        <row r="34">
          <cell r="B34">
            <v>44229</v>
          </cell>
          <cell r="C34">
            <v>44256</v>
          </cell>
        </row>
        <row r="35">
          <cell r="B35">
            <v>44230</v>
          </cell>
          <cell r="C35">
            <v>44256</v>
          </cell>
        </row>
        <row r="36">
          <cell r="B36">
            <v>44231</v>
          </cell>
          <cell r="C36">
            <v>44256</v>
          </cell>
        </row>
        <row r="37">
          <cell r="B37">
            <v>44232</v>
          </cell>
          <cell r="C37">
            <v>44256</v>
          </cell>
        </row>
        <row r="38">
          <cell r="B38">
            <v>44233</v>
          </cell>
          <cell r="C38">
            <v>44256</v>
          </cell>
        </row>
        <row r="39">
          <cell r="B39">
            <v>44234</v>
          </cell>
          <cell r="C39">
            <v>44256</v>
          </cell>
        </row>
        <row r="40">
          <cell r="B40">
            <v>44235</v>
          </cell>
          <cell r="C40">
            <v>44256</v>
          </cell>
        </row>
        <row r="41">
          <cell r="B41">
            <v>44236</v>
          </cell>
          <cell r="C41">
            <v>44256</v>
          </cell>
        </row>
        <row r="42">
          <cell r="B42">
            <v>44237</v>
          </cell>
          <cell r="C42">
            <v>44256</v>
          </cell>
        </row>
        <row r="43">
          <cell r="B43">
            <v>44238</v>
          </cell>
          <cell r="C43">
            <v>44256</v>
          </cell>
        </row>
        <row r="44">
          <cell r="B44">
            <v>44239</v>
          </cell>
          <cell r="C44">
            <v>44256</v>
          </cell>
        </row>
        <row r="45">
          <cell r="B45">
            <v>44240</v>
          </cell>
          <cell r="C45">
            <v>44256</v>
          </cell>
        </row>
        <row r="46">
          <cell r="B46">
            <v>44241</v>
          </cell>
          <cell r="C46">
            <v>44256</v>
          </cell>
        </row>
        <row r="47">
          <cell r="B47">
            <v>44242</v>
          </cell>
          <cell r="C47">
            <v>44256</v>
          </cell>
        </row>
        <row r="48">
          <cell r="B48">
            <v>44243</v>
          </cell>
          <cell r="C48">
            <v>44287</v>
          </cell>
        </row>
        <row r="49">
          <cell r="B49">
            <v>44244</v>
          </cell>
          <cell r="C49">
            <v>44287</v>
          </cell>
        </row>
        <row r="50">
          <cell r="B50">
            <v>44245</v>
          </cell>
          <cell r="C50">
            <v>44287</v>
          </cell>
        </row>
        <row r="51">
          <cell r="B51">
            <v>44246</v>
          </cell>
          <cell r="C51">
            <v>44287</v>
          </cell>
        </row>
        <row r="52">
          <cell r="B52">
            <v>44247</v>
          </cell>
          <cell r="C52">
            <v>44287</v>
          </cell>
        </row>
        <row r="53">
          <cell r="B53">
            <v>44248</v>
          </cell>
          <cell r="C53">
            <v>44287</v>
          </cell>
        </row>
        <row r="54">
          <cell r="B54">
            <v>44249</v>
          </cell>
          <cell r="C54">
            <v>44287</v>
          </cell>
        </row>
        <row r="55">
          <cell r="B55">
            <v>44250</v>
          </cell>
          <cell r="C55">
            <v>44287</v>
          </cell>
        </row>
        <row r="56">
          <cell r="B56">
            <v>44251</v>
          </cell>
          <cell r="C56">
            <v>44287</v>
          </cell>
        </row>
        <row r="57">
          <cell r="B57">
            <v>44252</v>
          </cell>
          <cell r="C57">
            <v>44287</v>
          </cell>
        </row>
        <row r="58">
          <cell r="B58">
            <v>44253</v>
          </cell>
          <cell r="C58">
            <v>44287</v>
          </cell>
        </row>
        <row r="59">
          <cell r="B59">
            <v>44254</v>
          </cell>
          <cell r="C59">
            <v>44287</v>
          </cell>
        </row>
        <row r="60">
          <cell r="B60">
            <v>44255</v>
          </cell>
          <cell r="C60">
            <v>44287</v>
          </cell>
        </row>
        <row r="61">
          <cell r="B61">
            <v>44256</v>
          </cell>
          <cell r="C61">
            <v>44287</v>
          </cell>
        </row>
        <row r="62">
          <cell r="B62">
            <v>44257</v>
          </cell>
          <cell r="C62">
            <v>44287</v>
          </cell>
        </row>
        <row r="63">
          <cell r="B63">
            <v>44258</v>
          </cell>
          <cell r="C63">
            <v>44287</v>
          </cell>
        </row>
        <row r="64">
          <cell r="B64">
            <v>44259</v>
          </cell>
          <cell r="C64">
            <v>44287</v>
          </cell>
        </row>
        <row r="65">
          <cell r="B65">
            <v>44260</v>
          </cell>
          <cell r="C65">
            <v>44287</v>
          </cell>
        </row>
        <row r="66">
          <cell r="B66">
            <v>44261</v>
          </cell>
          <cell r="C66">
            <v>44287</v>
          </cell>
        </row>
        <row r="67">
          <cell r="B67">
            <v>44262</v>
          </cell>
          <cell r="C67">
            <v>44287</v>
          </cell>
        </row>
        <row r="68">
          <cell r="B68">
            <v>44263</v>
          </cell>
          <cell r="C68">
            <v>44287</v>
          </cell>
        </row>
        <row r="69">
          <cell r="B69">
            <v>44264</v>
          </cell>
          <cell r="C69">
            <v>44287</v>
          </cell>
        </row>
        <row r="70">
          <cell r="B70">
            <v>44265</v>
          </cell>
          <cell r="C70">
            <v>44287</v>
          </cell>
        </row>
        <row r="71">
          <cell r="B71">
            <v>44266</v>
          </cell>
          <cell r="C71">
            <v>44287</v>
          </cell>
        </row>
        <row r="72">
          <cell r="B72">
            <v>44267</v>
          </cell>
          <cell r="C72">
            <v>44287</v>
          </cell>
        </row>
        <row r="73">
          <cell r="B73">
            <v>44268</v>
          </cell>
          <cell r="C73">
            <v>44287</v>
          </cell>
        </row>
        <row r="74">
          <cell r="B74">
            <v>44269</v>
          </cell>
          <cell r="C74">
            <v>44287</v>
          </cell>
        </row>
        <row r="75">
          <cell r="B75">
            <v>44270</v>
          </cell>
          <cell r="C75">
            <v>44287</v>
          </cell>
        </row>
        <row r="76">
          <cell r="B76">
            <v>44271</v>
          </cell>
          <cell r="C76">
            <v>44317</v>
          </cell>
        </row>
        <row r="77">
          <cell r="B77">
            <v>44272</v>
          </cell>
          <cell r="C77">
            <v>44317</v>
          </cell>
        </row>
        <row r="78">
          <cell r="B78">
            <v>44273</v>
          </cell>
          <cell r="C78">
            <v>44317</v>
          </cell>
        </row>
        <row r="79">
          <cell r="B79">
            <v>44274</v>
          </cell>
          <cell r="C79">
            <v>44317</v>
          </cell>
        </row>
        <row r="80">
          <cell r="B80">
            <v>44275</v>
          </cell>
          <cell r="C80">
            <v>44317</v>
          </cell>
        </row>
        <row r="81">
          <cell r="B81">
            <v>44276</v>
          </cell>
          <cell r="C81">
            <v>44317</v>
          </cell>
        </row>
        <row r="82">
          <cell r="B82">
            <v>44277</v>
          </cell>
          <cell r="C82">
            <v>44317</v>
          </cell>
        </row>
        <row r="83">
          <cell r="B83">
            <v>44278</v>
          </cell>
          <cell r="C83">
            <v>44317</v>
          </cell>
        </row>
        <row r="84">
          <cell r="B84">
            <v>44279</v>
          </cell>
          <cell r="C84">
            <v>44317</v>
          </cell>
        </row>
        <row r="85">
          <cell r="B85">
            <v>44280</v>
          </cell>
          <cell r="C85">
            <v>44317</v>
          </cell>
        </row>
        <row r="86">
          <cell r="B86">
            <v>44281</v>
          </cell>
          <cell r="C86">
            <v>44317</v>
          </cell>
        </row>
        <row r="87">
          <cell r="B87">
            <v>44282</v>
          </cell>
          <cell r="C87">
            <v>44317</v>
          </cell>
        </row>
        <row r="88">
          <cell r="B88">
            <v>44283</v>
          </cell>
          <cell r="C88">
            <v>44317</v>
          </cell>
        </row>
        <row r="89">
          <cell r="B89">
            <v>44284</v>
          </cell>
          <cell r="C89">
            <v>44317</v>
          </cell>
        </row>
        <row r="90">
          <cell r="B90">
            <v>44285</v>
          </cell>
          <cell r="C90">
            <v>44317</v>
          </cell>
        </row>
        <row r="91">
          <cell r="B91">
            <v>44286</v>
          </cell>
          <cell r="C91">
            <v>44317</v>
          </cell>
        </row>
        <row r="92">
          <cell r="B92">
            <v>44287</v>
          </cell>
          <cell r="C92">
            <v>44317</v>
          </cell>
        </row>
        <row r="93">
          <cell r="B93">
            <v>44288</v>
          </cell>
          <cell r="C93">
            <v>44317</v>
          </cell>
        </row>
        <row r="94">
          <cell r="B94">
            <v>44289</v>
          </cell>
          <cell r="C94">
            <v>44317</v>
          </cell>
        </row>
        <row r="95">
          <cell r="B95">
            <v>44290</v>
          </cell>
          <cell r="C95">
            <v>44317</v>
          </cell>
        </row>
        <row r="96">
          <cell r="B96">
            <v>44291</v>
          </cell>
          <cell r="C96">
            <v>44317</v>
          </cell>
        </row>
        <row r="97">
          <cell r="B97">
            <v>44292</v>
          </cell>
          <cell r="C97">
            <v>44317</v>
          </cell>
        </row>
        <row r="98">
          <cell r="B98">
            <v>44293</v>
          </cell>
          <cell r="C98">
            <v>44317</v>
          </cell>
        </row>
        <row r="99">
          <cell r="B99">
            <v>44294</v>
          </cell>
          <cell r="C99">
            <v>44317</v>
          </cell>
        </row>
        <row r="100">
          <cell r="B100">
            <v>44295</v>
          </cell>
          <cell r="C100">
            <v>44317</v>
          </cell>
        </row>
        <row r="101">
          <cell r="B101">
            <v>44296</v>
          </cell>
          <cell r="C101">
            <v>44317</v>
          </cell>
        </row>
        <row r="102">
          <cell r="B102">
            <v>44297</v>
          </cell>
          <cell r="C102">
            <v>44317</v>
          </cell>
        </row>
        <row r="103">
          <cell r="B103">
            <v>44298</v>
          </cell>
          <cell r="C103">
            <v>44317</v>
          </cell>
        </row>
        <row r="104">
          <cell r="B104">
            <v>44299</v>
          </cell>
          <cell r="C104">
            <v>44317</v>
          </cell>
        </row>
        <row r="105">
          <cell r="B105">
            <v>44300</v>
          </cell>
          <cell r="C105">
            <v>44317</v>
          </cell>
        </row>
        <row r="106">
          <cell r="B106">
            <v>44301</v>
          </cell>
          <cell r="C106">
            <v>44317</v>
          </cell>
        </row>
        <row r="107">
          <cell r="B107">
            <v>44302</v>
          </cell>
          <cell r="C107">
            <v>44348</v>
          </cell>
        </row>
        <row r="108">
          <cell r="B108">
            <v>44303</v>
          </cell>
          <cell r="C108">
            <v>44348</v>
          </cell>
        </row>
        <row r="109">
          <cell r="B109">
            <v>44304</v>
          </cell>
          <cell r="C109">
            <v>44348</v>
          </cell>
        </row>
        <row r="110">
          <cell r="B110">
            <v>44305</v>
          </cell>
          <cell r="C110">
            <v>44348</v>
          </cell>
        </row>
        <row r="111">
          <cell r="B111">
            <v>44306</v>
          </cell>
          <cell r="C111">
            <v>44348</v>
          </cell>
        </row>
        <row r="112">
          <cell r="B112">
            <v>44307</v>
          </cell>
          <cell r="C112">
            <v>44348</v>
          </cell>
        </row>
        <row r="113">
          <cell r="B113">
            <v>44308</v>
          </cell>
          <cell r="C113">
            <v>44348</v>
          </cell>
        </row>
        <row r="114">
          <cell r="B114">
            <v>44309</v>
          </cell>
          <cell r="C114">
            <v>44348</v>
          </cell>
        </row>
        <row r="115">
          <cell r="B115">
            <v>44310</v>
          </cell>
          <cell r="C115">
            <v>44348</v>
          </cell>
        </row>
        <row r="116">
          <cell r="B116">
            <v>44311</v>
          </cell>
          <cell r="C116">
            <v>44348</v>
          </cell>
        </row>
        <row r="117">
          <cell r="B117">
            <v>44312</v>
          </cell>
          <cell r="C117">
            <v>44348</v>
          </cell>
        </row>
        <row r="118">
          <cell r="B118">
            <v>44313</v>
          </cell>
          <cell r="C118">
            <v>44348</v>
          </cell>
        </row>
        <row r="119">
          <cell r="B119">
            <v>44314</v>
          </cell>
          <cell r="C119">
            <v>44348</v>
          </cell>
        </row>
        <row r="120">
          <cell r="B120">
            <v>44315</v>
          </cell>
          <cell r="C120">
            <v>44348</v>
          </cell>
        </row>
        <row r="121">
          <cell r="B121">
            <v>44316</v>
          </cell>
          <cell r="C121">
            <v>44348</v>
          </cell>
        </row>
        <row r="122">
          <cell r="B122">
            <v>44317</v>
          </cell>
          <cell r="C122">
            <v>44348</v>
          </cell>
        </row>
        <row r="123">
          <cell r="B123">
            <v>44318</v>
          </cell>
          <cell r="C123">
            <v>44348</v>
          </cell>
        </row>
        <row r="124">
          <cell r="B124">
            <v>44319</v>
          </cell>
          <cell r="C124">
            <v>44348</v>
          </cell>
        </row>
        <row r="125">
          <cell r="B125">
            <v>44320</v>
          </cell>
          <cell r="C125">
            <v>44348</v>
          </cell>
        </row>
        <row r="126">
          <cell r="B126">
            <v>44321</v>
          </cell>
          <cell r="C126">
            <v>44348</v>
          </cell>
        </row>
        <row r="127">
          <cell r="B127">
            <v>44322</v>
          </cell>
          <cell r="C127">
            <v>44348</v>
          </cell>
        </row>
        <row r="128">
          <cell r="B128">
            <v>44323</v>
          </cell>
          <cell r="C128">
            <v>44348</v>
          </cell>
        </row>
        <row r="129">
          <cell r="B129">
            <v>44324</v>
          </cell>
          <cell r="C129">
            <v>44348</v>
          </cell>
        </row>
        <row r="130">
          <cell r="B130">
            <v>44325</v>
          </cell>
          <cell r="C130">
            <v>44348</v>
          </cell>
        </row>
        <row r="131">
          <cell r="B131">
            <v>44326</v>
          </cell>
          <cell r="C131">
            <v>44348</v>
          </cell>
        </row>
        <row r="132">
          <cell r="B132">
            <v>44327</v>
          </cell>
          <cell r="C132">
            <v>44348</v>
          </cell>
        </row>
        <row r="133">
          <cell r="B133">
            <v>44328</v>
          </cell>
          <cell r="C133">
            <v>44348</v>
          </cell>
        </row>
        <row r="134">
          <cell r="B134">
            <v>44329</v>
          </cell>
          <cell r="C134">
            <v>44348</v>
          </cell>
        </row>
        <row r="135">
          <cell r="B135">
            <v>44330</v>
          </cell>
          <cell r="C135">
            <v>44348</v>
          </cell>
        </row>
        <row r="136">
          <cell r="B136">
            <v>44331</v>
          </cell>
          <cell r="C136">
            <v>44348</v>
          </cell>
        </row>
        <row r="137">
          <cell r="B137">
            <v>44332</v>
          </cell>
          <cell r="C137">
            <v>44378</v>
          </cell>
        </row>
        <row r="138">
          <cell r="B138">
            <v>44333</v>
          </cell>
          <cell r="C138">
            <v>44378</v>
          </cell>
        </row>
        <row r="139">
          <cell r="B139">
            <v>44334</v>
          </cell>
          <cell r="C139">
            <v>44378</v>
          </cell>
        </row>
        <row r="140">
          <cell r="B140">
            <v>44335</v>
          </cell>
          <cell r="C140">
            <v>44378</v>
          </cell>
        </row>
        <row r="141">
          <cell r="B141">
            <v>44336</v>
          </cell>
          <cell r="C141">
            <v>44378</v>
          </cell>
        </row>
        <row r="142">
          <cell r="B142">
            <v>44337</v>
          </cell>
          <cell r="C142">
            <v>44378</v>
          </cell>
        </row>
        <row r="143">
          <cell r="B143">
            <v>44338</v>
          </cell>
          <cell r="C143">
            <v>44378</v>
          </cell>
        </row>
        <row r="144">
          <cell r="B144">
            <v>44339</v>
          </cell>
          <cell r="C144">
            <v>44378</v>
          </cell>
        </row>
        <row r="145">
          <cell r="B145">
            <v>44340</v>
          </cell>
          <cell r="C145">
            <v>44378</v>
          </cell>
        </row>
        <row r="146">
          <cell r="B146">
            <v>44341</v>
          </cell>
          <cell r="C146">
            <v>44378</v>
          </cell>
        </row>
        <row r="147">
          <cell r="B147">
            <v>44342</v>
          </cell>
          <cell r="C147">
            <v>44378</v>
          </cell>
        </row>
        <row r="148">
          <cell r="B148">
            <v>44343</v>
          </cell>
          <cell r="C148">
            <v>44378</v>
          </cell>
        </row>
        <row r="149">
          <cell r="B149">
            <v>44344</v>
          </cell>
          <cell r="C149">
            <v>44378</v>
          </cell>
        </row>
        <row r="150">
          <cell r="B150">
            <v>44345</v>
          </cell>
          <cell r="C150">
            <v>44378</v>
          </cell>
        </row>
        <row r="151">
          <cell r="B151">
            <v>44346</v>
          </cell>
          <cell r="C151">
            <v>44378</v>
          </cell>
        </row>
        <row r="152">
          <cell r="B152">
            <v>44347</v>
          </cell>
          <cell r="C152">
            <v>44378</v>
          </cell>
        </row>
        <row r="153">
          <cell r="B153">
            <v>44348</v>
          </cell>
          <cell r="C153">
            <v>44378</v>
          </cell>
        </row>
        <row r="154">
          <cell r="B154">
            <v>44349</v>
          </cell>
          <cell r="C154">
            <v>44378</v>
          </cell>
        </row>
        <row r="155">
          <cell r="B155">
            <v>44350</v>
          </cell>
          <cell r="C155">
            <v>44378</v>
          </cell>
        </row>
        <row r="156">
          <cell r="B156">
            <v>44351</v>
          </cell>
          <cell r="C156">
            <v>44378</v>
          </cell>
        </row>
        <row r="157">
          <cell r="B157">
            <v>44352</v>
          </cell>
          <cell r="C157">
            <v>44378</v>
          </cell>
        </row>
        <row r="158">
          <cell r="B158">
            <v>44353</v>
          </cell>
          <cell r="C158">
            <v>44378</v>
          </cell>
        </row>
        <row r="159">
          <cell r="B159">
            <v>44354</v>
          </cell>
          <cell r="C159">
            <v>44378</v>
          </cell>
        </row>
        <row r="160">
          <cell r="B160">
            <v>44355</v>
          </cell>
          <cell r="C160">
            <v>44378</v>
          </cell>
        </row>
        <row r="161">
          <cell r="B161">
            <v>44356</v>
          </cell>
          <cell r="C161">
            <v>44378</v>
          </cell>
        </row>
        <row r="162">
          <cell r="B162">
            <v>44357</v>
          </cell>
          <cell r="C162">
            <v>44378</v>
          </cell>
        </row>
        <row r="163">
          <cell r="B163">
            <v>44358</v>
          </cell>
          <cell r="C163">
            <v>44378</v>
          </cell>
        </row>
        <row r="164">
          <cell r="B164">
            <v>44359</v>
          </cell>
          <cell r="C164">
            <v>44378</v>
          </cell>
        </row>
        <row r="165">
          <cell r="B165">
            <v>44360</v>
          </cell>
          <cell r="C165">
            <v>44378</v>
          </cell>
        </row>
        <row r="166">
          <cell r="B166">
            <v>44361</v>
          </cell>
          <cell r="C166">
            <v>44378</v>
          </cell>
        </row>
        <row r="167">
          <cell r="B167">
            <v>44362</v>
          </cell>
          <cell r="C167">
            <v>44378</v>
          </cell>
        </row>
        <row r="168">
          <cell r="B168">
            <v>44363</v>
          </cell>
          <cell r="C168">
            <v>44409</v>
          </cell>
        </row>
        <row r="169">
          <cell r="B169">
            <v>44364</v>
          </cell>
          <cell r="C169">
            <v>44409</v>
          </cell>
        </row>
        <row r="170">
          <cell r="B170">
            <v>44365</v>
          </cell>
          <cell r="C170">
            <v>44409</v>
          </cell>
        </row>
        <row r="171">
          <cell r="B171">
            <v>44366</v>
          </cell>
          <cell r="C171">
            <v>44409</v>
          </cell>
        </row>
        <row r="172">
          <cell r="B172">
            <v>44367</v>
          </cell>
          <cell r="C172">
            <v>44409</v>
          </cell>
        </row>
        <row r="173">
          <cell r="B173">
            <v>44368</v>
          </cell>
          <cell r="C173">
            <v>44409</v>
          </cell>
        </row>
        <row r="174">
          <cell r="B174">
            <v>44369</v>
          </cell>
          <cell r="C174">
            <v>44409</v>
          </cell>
        </row>
        <row r="175">
          <cell r="B175">
            <v>44370</v>
          </cell>
          <cell r="C175">
            <v>44409</v>
          </cell>
        </row>
        <row r="176">
          <cell r="B176">
            <v>44371</v>
          </cell>
          <cell r="C176">
            <v>44409</v>
          </cell>
        </row>
        <row r="177">
          <cell r="B177">
            <v>44372</v>
          </cell>
          <cell r="C177">
            <v>44409</v>
          </cell>
        </row>
        <row r="178">
          <cell r="B178">
            <v>44373</v>
          </cell>
          <cell r="C178">
            <v>44409</v>
          </cell>
        </row>
        <row r="179">
          <cell r="B179">
            <v>44374</v>
          </cell>
          <cell r="C179">
            <v>44409</v>
          </cell>
        </row>
        <row r="180">
          <cell r="B180">
            <v>44375</v>
          </cell>
          <cell r="C180">
            <v>44409</v>
          </cell>
        </row>
        <row r="181">
          <cell r="B181">
            <v>44376</v>
          </cell>
          <cell r="C181">
            <v>44409</v>
          </cell>
        </row>
        <row r="182">
          <cell r="B182">
            <v>44377</v>
          </cell>
          <cell r="C182">
            <v>44409</v>
          </cell>
        </row>
        <row r="183">
          <cell r="B183">
            <v>44378</v>
          </cell>
          <cell r="C183">
            <v>44409</v>
          </cell>
        </row>
        <row r="184">
          <cell r="B184">
            <v>44379</v>
          </cell>
          <cell r="C184">
            <v>44409</v>
          </cell>
        </row>
        <row r="185">
          <cell r="B185">
            <v>44380</v>
          </cell>
          <cell r="C185">
            <v>44409</v>
          </cell>
        </row>
        <row r="186">
          <cell r="B186">
            <v>44381</v>
          </cell>
          <cell r="C186">
            <v>44409</v>
          </cell>
        </row>
        <row r="187">
          <cell r="B187">
            <v>44382</v>
          </cell>
          <cell r="C187">
            <v>44409</v>
          </cell>
        </row>
        <row r="188">
          <cell r="B188">
            <v>44383</v>
          </cell>
          <cell r="C188">
            <v>44409</v>
          </cell>
        </row>
        <row r="189">
          <cell r="B189">
            <v>44384</v>
          </cell>
          <cell r="C189">
            <v>44409</v>
          </cell>
        </row>
        <row r="190">
          <cell r="B190">
            <v>44385</v>
          </cell>
          <cell r="C190">
            <v>44409</v>
          </cell>
        </row>
        <row r="191">
          <cell r="B191">
            <v>44386</v>
          </cell>
          <cell r="C191">
            <v>44409</v>
          </cell>
        </row>
        <row r="192">
          <cell r="B192">
            <v>44387</v>
          </cell>
          <cell r="C192">
            <v>44409</v>
          </cell>
        </row>
        <row r="193">
          <cell r="B193">
            <v>44388</v>
          </cell>
          <cell r="C193">
            <v>44409</v>
          </cell>
        </row>
        <row r="194">
          <cell r="B194">
            <v>44389</v>
          </cell>
          <cell r="C194">
            <v>44409</v>
          </cell>
        </row>
        <row r="195">
          <cell r="B195">
            <v>44390</v>
          </cell>
          <cell r="C195">
            <v>44409</v>
          </cell>
        </row>
        <row r="196">
          <cell r="B196">
            <v>44391</v>
          </cell>
          <cell r="C196">
            <v>44409</v>
          </cell>
        </row>
        <row r="197">
          <cell r="B197">
            <v>44392</v>
          </cell>
          <cell r="C197">
            <v>44409</v>
          </cell>
        </row>
        <row r="198">
          <cell r="B198">
            <v>44393</v>
          </cell>
          <cell r="C198">
            <v>44440</v>
          </cell>
        </row>
        <row r="199">
          <cell r="B199">
            <v>44394</v>
          </cell>
          <cell r="C199">
            <v>44440</v>
          </cell>
        </row>
        <row r="200">
          <cell r="B200">
            <v>44395</v>
          </cell>
          <cell r="C200">
            <v>44440</v>
          </cell>
        </row>
        <row r="201">
          <cell r="B201">
            <v>44396</v>
          </cell>
          <cell r="C201">
            <v>44440</v>
          </cell>
        </row>
        <row r="202">
          <cell r="B202">
            <v>44397</v>
          </cell>
          <cell r="C202">
            <v>44440</v>
          </cell>
        </row>
        <row r="203">
          <cell r="B203">
            <v>44398</v>
          </cell>
          <cell r="C203">
            <v>44440</v>
          </cell>
        </row>
        <row r="204">
          <cell r="B204">
            <v>44399</v>
          </cell>
          <cell r="C204">
            <v>44440</v>
          </cell>
        </row>
        <row r="205">
          <cell r="B205">
            <v>44400</v>
          </cell>
          <cell r="C205">
            <v>44440</v>
          </cell>
        </row>
        <row r="206">
          <cell r="B206">
            <v>44401</v>
          </cell>
          <cell r="C206">
            <v>44440</v>
          </cell>
        </row>
        <row r="207">
          <cell r="B207">
            <v>44402</v>
          </cell>
          <cell r="C207">
            <v>44440</v>
          </cell>
        </row>
        <row r="208">
          <cell r="B208">
            <v>44403</v>
          </cell>
          <cell r="C208">
            <v>44440</v>
          </cell>
        </row>
        <row r="209">
          <cell r="B209">
            <v>44404</v>
          </cell>
          <cell r="C209">
            <v>44440</v>
          </cell>
        </row>
        <row r="210">
          <cell r="B210">
            <v>44405</v>
          </cell>
          <cell r="C210">
            <v>44440</v>
          </cell>
        </row>
        <row r="211">
          <cell r="B211">
            <v>44406</v>
          </cell>
          <cell r="C211">
            <v>44440</v>
          </cell>
        </row>
        <row r="212">
          <cell r="B212">
            <v>44407</v>
          </cell>
          <cell r="C212">
            <v>44440</v>
          </cell>
        </row>
        <row r="213">
          <cell r="B213">
            <v>44408</v>
          </cell>
          <cell r="C213">
            <v>44440</v>
          </cell>
        </row>
        <row r="214">
          <cell r="B214">
            <v>44409</v>
          </cell>
          <cell r="C214">
            <v>44440</v>
          </cell>
        </row>
        <row r="215">
          <cell r="B215">
            <v>44410</v>
          </cell>
          <cell r="C215">
            <v>44440</v>
          </cell>
        </row>
        <row r="216">
          <cell r="B216">
            <v>44411</v>
          </cell>
          <cell r="C216">
            <v>44440</v>
          </cell>
        </row>
        <row r="217">
          <cell r="B217">
            <v>44412</v>
          </cell>
          <cell r="C217">
            <v>44440</v>
          </cell>
        </row>
        <row r="218">
          <cell r="B218">
            <v>44413</v>
          </cell>
          <cell r="C218">
            <v>44440</v>
          </cell>
        </row>
        <row r="219">
          <cell r="B219">
            <v>44414</v>
          </cell>
          <cell r="C219">
            <v>44440</v>
          </cell>
        </row>
        <row r="220">
          <cell r="B220">
            <v>44415</v>
          </cell>
          <cell r="C220">
            <v>44440</v>
          </cell>
        </row>
        <row r="221">
          <cell r="B221">
            <v>44416</v>
          </cell>
          <cell r="C221">
            <v>44440</v>
          </cell>
        </row>
        <row r="222">
          <cell r="B222">
            <v>44417</v>
          </cell>
          <cell r="C222">
            <v>44440</v>
          </cell>
        </row>
        <row r="223">
          <cell r="B223">
            <v>44418</v>
          </cell>
          <cell r="C223">
            <v>44440</v>
          </cell>
        </row>
        <row r="224">
          <cell r="B224">
            <v>44419</v>
          </cell>
          <cell r="C224">
            <v>44440</v>
          </cell>
        </row>
        <row r="225">
          <cell r="B225">
            <v>44420</v>
          </cell>
          <cell r="C225">
            <v>44440</v>
          </cell>
        </row>
        <row r="226">
          <cell r="B226">
            <v>44421</v>
          </cell>
          <cell r="C226">
            <v>44440</v>
          </cell>
        </row>
        <row r="227">
          <cell r="B227">
            <v>44422</v>
          </cell>
          <cell r="C227">
            <v>44440</v>
          </cell>
        </row>
        <row r="228">
          <cell r="B228">
            <v>44423</v>
          </cell>
          <cell r="C228">
            <v>44440</v>
          </cell>
        </row>
        <row r="229">
          <cell r="B229">
            <v>44424</v>
          </cell>
          <cell r="C229">
            <v>44470</v>
          </cell>
        </row>
        <row r="230">
          <cell r="B230">
            <v>44425</v>
          </cell>
          <cell r="C230">
            <v>44470</v>
          </cell>
        </row>
        <row r="231">
          <cell r="B231">
            <v>44426</v>
          </cell>
          <cell r="C231">
            <v>44470</v>
          </cell>
        </row>
        <row r="232">
          <cell r="B232">
            <v>44427</v>
          </cell>
          <cell r="C232">
            <v>44470</v>
          </cell>
        </row>
        <row r="233">
          <cell r="B233">
            <v>44428</v>
          </cell>
          <cell r="C233">
            <v>44470</v>
          </cell>
        </row>
        <row r="234">
          <cell r="B234">
            <v>44429</v>
          </cell>
          <cell r="C234">
            <v>44470</v>
          </cell>
        </row>
        <row r="235">
          <cell r="B235">
            <v>44430</v>
          </cell>
          <cell r="C235">
            <v>44470</v>
          </cell>
        </row>
        <row r="236">
          <cell r="B236">
            <v>44431</v>
          </cell>
          <cell r="C236">
            <v>44470</v>
          </cell>
        </row>
        <row r="237">
          <cell r="B237">
            <v>44432</v>
          </cell>
          <cell r="C237">
            <v>44470</v>
          </cell>
        </row>
        <row r="238">
          <cell r="B238">
            <v>44433</v>
          </cell>
          <cell r="C238">
            <v>44470</v>
          </cell>
        </row>
        <row r="239">
          <cell r="B239">
            <v>44434</v>
          </cell>
          <cell r="C239">
            <v>44470</v>
          </cell>
        </row>
        <row r="240">
          <cell r="B240">
            <v>44435</v>
          </cell>
          <cell r="C240">
            <v>44470</v>
          </cell>
        </row>
        <row r="241">
          <cell r="B241">
            <v>44436</v>
          </cell>
          <cell r="C241">
            <v>44470</v>
          </cell>
        </row>
        <row r="242">
          <cell r="B242">
            <v>44437</v>
          </cell>
          <cell r="C242">
            <v>44470</v>
          </cell>
        </row>
        <row r="243">
          <cell r="B243">
            <v>44438</v>
          </cell>
          <cell r="C243">
            <v>44470</v>
          </cell>
        </row>
        <row r="244">
          <cell r="B244">
            <v>44439</v>
          </cell>
          <cell r="C244">
            <v>44470</v>
          </cell>
        </row>
        <row r="245">
          <cell r="B245">
            <v>44440</v>
          </cell>
          <cell r="C245">
            <v>44470</v>
          </cell>
        </row>
        <row r="246">
          <cell r="B246">
            <v>44441</v>
          </cell>
          <cell r="C246">
            <v>44470</v>
          </cell>
        </row>
        <row r="247">
          <cell r="B247">
            <v>44442</v>
          </cell>
          <cell r="C247">
            <v>44470</v>
          </cell>
        </row>
        <row r="248">
          <cell r="B248">
            <v>44443</v>
          </cell>
          <cell r="C248">
            <v>44470</v>
          </cell>
        </row>
        <row r="249">
          <cell r="B249">
            <v>44444</v>
          </cell>
          <cell r="C249">
            <v>44470</v>
          </cell>
        </row>
        <row r="250">
          <cell r="B250">
            <v>44445</v>
          </cell>
          <cell r="C250">
            <v>44470</v>
          </cell>
        </row>
        <row r="251">
          <cell r="B251">
            <v>44446</v>
          </cell>
          <cell r="C251">
            <v>44470</v>
          </cell>
        </row>
        <row r="252">
          <cell r="B252">
            <v>44447</v>
          </cell>
          <cell r="C252">
            <v>44470</v>
          </cell>
        </row>
        <row r="253">
          <cell r="B253">
            <v>44448</v>
          </cell>
          <cell r="C253">
            <v>44470</v>
          </cell>
        </row>
        <row r="254">
          <cell r="B254">
            <v>44449</v>
          </cell>
          <cell r="C254">
            <v>44470</v>
          </cell>
        </row>
        <row r="255">
          <cell r="B255">
            <v>44450</v>
          </cell>
          <cell r="C255">
            <v>44470</v>
          </cell>
        </row>
        <row r="256">
          <cell r="B256">
            <v>44451</v>
          </cell>
          <cell r="C256">
            <v>44470</v>
          </cell>
        </row>
        <row r="257">
          <cell r="B257">
            <v>44452</v>
          </cell>
          <cell r="C257">
            <v>44470</v>
          </cell>
        </row>
        <row r="258">
          <cell r="B258">
            <v>44453</v>
          </cell>
          <cell r="C258">
            <v>44470</v>
          </cell>
        </row>
        <row r="259">
          <cell r="B259">
            <v>44454</v>
          </cell>
          <cell r="C259">
            <v>44470</v>
          </cell>
        </row>
        <row r="260">
          <cell r="B260">
            <v>44455</v>
          </cell>
          <cell r="C260">
            <v>44501</v>
          </cell>
        </row>
        <row r="261">
          <cell r="B261">
            <v>44456</v>
          </cell>
          <cell r="C261">
            <v>44501</v>
          </cell>
        </row>
        <row r="262">
          <cell r="B262">
            <v>44457</v>
          </cell>
          <cell r="C262">
            <v>44501</v>
          </cell>
        </row>
        <row r="263">
          <cell r="B263">
            <v>44458</v>
          </cell>
          <cell r="C263">
            <v>44501</v>
          </cell>
        </row>
        <row r="264">
          <cell r="B264">
            <v>44459</v>
          </cell>
          <cell r="C264">
            <v>44501</v>
          </cell>
        </row>
        <row r="265">
          <cell r="B265">
            <v>44460</v>
          </cell>
          <cell r="C265">
            <v>44501</v>
          </cell>
        </row>
        <row r="266">
          <cell r="B266">
            <v>44461</v>
          </cell>
          <cell r="C266">
            <v>44501</v>
          </cell>
        </row>
        <row r="267">
          <cell r="B267">
            <v>44462</v>
          </cell>
          <cell r="C267">
            <v>44501</v>
          </cell>
        </row>
        <row r="268">
          <cell r="B268">
            <v>44463</v>
          </cell>
          <cell r="C268">
            <v>44501</v>
          </cell>
        </row>
        <row r="269">
          <cell r="B269">
            <v>44464</v>
          </cell>
          <cell r="C269">
            <v>44501</v>
          </cell>
        </row>
        <row r="270">
          <cell r="B270">
            <v>44465</v>
          </cell>
          <cell r="C270">
            <v>44501</v>
          </cell>
        </row>
        <row r="271">
          <cell r="B271">
            <v>44466</v>
          </cell>
          <cell r="C271">
            <v>44501</v>
          </cell>
        </row>
        <row r="272">
          <cell r="B272">
            <v>44467</v>
          </cell>
          <cell r="C272">
            <v>44501</v>
          </cell>
        </row>
        <row r="273">
          <cell r="B273">
            <v>44468</v>
          </cell>
          <cell r="C273">
            <v>44501</v>
          </cell>
        </row>
        <row r="274">
          <cell r="B274">
            <v>44469</v>
          </cell>
          <cell r="C274">
            <v>44501</v>
          </cell>
        </row>
        <row r="275">
          <cell r="B275">
            <v>44470</v>
          </cell>
          <cell r="C275">
            <v>44501</v>
          </cell>
        </row>
        <row r="276">
          <cell r="B276">
            <v>44471</v>
          </cell>
          <cell r="C276">
            <v>44501</v>
          </cell>
        </row>
        <row r="277">
          <cell r="B277">
            <v>44472</v>
          </cell>
          <cell r="C277">
            <v>44501</v>
          </cell>
        </row>
        <row r="278">
          <cell r="B278">
            <v>44473</v>
          </cell>
          <cell r="C278">
            <v>44501</v>
          </cell>
        </row>
        <row r="279">
          <cell r="B279">
            <v>44474</v>
          </cell>
          <cell r="C279">
            <v>44501</v>
          </cell>
        </row>
        <row r="280">
          <cell r="B280">
            <v>44475</v>
          </cell>
          <cell r="C280">
            <v>44501</v>
          </cell>
        </row>
        <row r="281">
          <cell r="B281">
            <v>44476</v>
          </cell>
          <cell r="C281">
            <v>44501</v>
          </cell>
        </row>
        <row r="282">
          <cell r="B282">
            <v>44477</v>
          </cell>
          <cell r="C282">
            <v>44501</v>
          </cell>
        </row>
        <row r="283">
          <cell r="B283">
            <v>44478</v>
          </cell>
          <cell r="C283">
            <v>44501</v>
          </cell>
        </row>
        <row r="284">
          <cell r="B284">
            <v>44479</v>
          </cell>
          <cell r="C284">
            <v>44501</v>
          </cell>
        </row>
        <row r="285">
          <cell r="B285">
            <v>44480</v>
          </cell>
          <cell r="C285">
            <v>44501</v>
          </cell>
        </row>
        <row r="286">
          <cell r="B286">
            <v>44481</v>
          </cell>
          <cell r="C286">
            <v>44501</v>
          </cell>
        </row>
        <row r="287">
          <cell r="B287">
            <v>44482</v>
          </cell>
          <cell r="C287">
            <v>44501</v>
          </cell>
        </row>
        <row r="288">
          <cell r="B288">
            <v>44483</v>
          </cell>
          <cell r="C288">
            <v>44501</v>
          </cell>
        </row>
        <row r="289">
          <cell r="B289">
            <v>44484</v>
          </cell>
          <cell r="C289">
            <v>44501</v>
          </cell>
        </row>
        <row r="290">
          <cell r="B290">
            <v>44485</v>
          </cell>
          <cell r="C290">
            <v>44531</v>
          </cell>
        </row>
        <row r="291">
          <cell r="B291">
            <v>44486</v>
          </cell>
          <cell r="C291">
            <v>44531</v>
          </cell>
        </row>
        <row r="292">
          <cell r="B292">
            <v>44487</v>
          </cell>
          <cell r="C292">
            <v>44531</v>
          </cell>
        </row>
        <row r="293">
          <cell r="B293">
            <v>44488</v>
          </cell>
          <cell r="C293">
            <v>44531</v>
          </cell>
        </row>
        <row r="294">
          <cell r="B294">
            <v>44489</v>
          </cell>
          <cell r="C294">
            <v>44531</v>
          </cell>
        </row>
        <row r="295">
          <cell r="B295">
            <v>44490</v>
          </cell>
          <cell r="C295">
            <v>44531</v>
          </cell>
        </row>
        <row r="296">
          <cell r="B296">
            <v>44491</v>
          </cell>
          <cell r="C296">
            <v>44531</v>
          </cell>
        </row>
        <row r="297">
          <cell r="B297">
            <v>44492</v>
          </cell>
          <cell r="C297">
            <v>44531</v>
          </cell>
        </row>
        <row r="298">
          <cell r="B298">
            <v>44493</v>
          </cell>
          <cell r="C298">
            <v>44531</v>
          </cell>
        </row>
        <row r="299">
          <cell r="B299">
            <v>44494</v>
          </cell>
          <cell r="C299">
            <v>44531</v>
          </cell>
        </row>
        <row r="300">
          <cell r="B300">
            <v>44495</v>
          </cell>
          <cell r="C300">
            <v>44531</v>
          </cell>
        </row>
        <row r="301">
          <cell r="B301">
            <v>44496</v>
          </cell>
          <cell r="C301">
            <v>44531</v>
          </cell>
        </row>
        <row r="302">
          <cell r="B302">
            <v>44497</v>
          </cell>
          <cell r="C302">
            <v>44531</v>
          </cell>
        </row>
        <row r="303">
          <cell r="B303">
            <v>44498</v>
          </cell>
          <cell r="C303">
            <v>44531</v>
          </cell>
        </row>
        <row r="304">
          <cell r="B304">
            <v>44499</v>
          </cell>
          <cell r="C304">
            <v>44531</v>
          </cell>
        </row>
        <row r="305">
          <cell r="B305">
            <v>44500</v>
          </cell>
          <cell r="C305">
            <v>44531</v>
          </cell>
        </row>
        <row r="306">
          <cell r="B306">
            <v>44501</v>
          </cell>
          <cell r="C306">
            <v>44531</v>
          </cell>
        </row>
        <row r="307">
          <cell r="B307">
            <v>44502</v>
          </cell>
          <cell r="C307">
            <v>44531</v>
          </cell>
        </row>
        <row r="308">
          <cell r="B308">
            <v>44503</v>
          </cell>
          <cell r="C308">
            <v>44531</v>
          </cell>
        </row>
        <row r="309">
          <cell r="B309">
            <v>44504</v>
          </cell>
          <cell r="C309">
            <v>44531</v>
          </cell>
        </row>
        <row r="310">
          <cell r="B310">
            <v>44505</v>
          </cell>
          <cell r="C310">
            <v>44531</v>
          </cell>
        </row>
        <row r="311">
          <cell r="B311">
            <v>44506</v>
          </cell>
          <cell r="C311">
            <v>44531</v>
          </cell>
        </row>
        <row r="312">
          <cell r="B312">
            <v>44507</v>
          </cell>
          <cell r="C312">
            <v>44531</v>
          </cell>
        </row>
        <row r="313">
          <cell r="B313">
            <v>44508</v>
          </cell>
          <cell r="C313">
            <v>44531</v>
          </cell>
        </row>
        <row r="314">
          <cell r="B314">
            <v>44509</v>
          </cell>
          <cell r="C314">
            <v>44531</v>
          </cell>
        </row>
        <row r="315">
          <cell r="B315">
            <v>44510</v>
          </cell>
          <cell r="C315">
            <v>44531</v>
          </cell>
        </row>
        <row r="316">
          <cell r="B316">
            <v>44511</v>
          </cell>
          <cell r="C316">
            <v>44531</v>
          </cell>
        </row>
        <row r="317">
          <cell r="B317">
            <v>44512</v>
          </cell>
          <cell r="C317">
            <v>44531</v>
          </cell>
        </row>
        <row r="318">
          <cell r="B318">
            <v>44513</v>
          </cell>
          <cell r="C318">
            <v>44531</v>
          </cell>
        </row>
        <row r="319">
          <cell r="B319">
            <v>44514</v>
          </cell>
          <cell r="C319">
            <v>44531</v>
          </cell>
        </row>
        <row r="320">
          <cell r="B320">
            <v>44515</v>
          </cell>
          <cell r="C320">
            <v>44531</v>
          </cell>
        </row>
        <row r="321">
          <cell r="B321">
            <v>44516</v>
          </cell>
          <cell r="C321">
            <v>44562</v>
          </cell>
        </row>
        <row r="322">
          <cell r="B322">
            <v>44517</v>
          </cell>
          <cell r="C322">
            <v>44562</v>
          </cell>
        </row>
        <row r="323">
          <cell r="B323">
            <v>44518</v>
          </cell>
          <cell r="C323">
            <v>44562</v>
          </cell>
        </row>
        <row r="324">
          <cell r="B324">
            <v>44519</v>
          </cell>
          <cell r="C324">
            <v>44562</v>
          </cell>
        </row>
        <row r="325">
          <cell r="B325">
            <v>44520</v>
          </cell>
          <cell r="C325">
            <v>44562</v>
          </cell>
        </row>
        <row r="326">
          <cell r="B326">
            <v>44521</v>
          </cell>
          <cell r="C326">
            <v>44562</v>
          </cell>
        </row>
        <row r="327">
          <cell r="B327">
            <v>44522</v>
          </cell>
          <cell r="C327">
            <v>44562</v>
          </cell>
        </row>
        <row r="328">
          <cell r="B328">
            <v>44523</v>
          </cell>
          <cell r="C328">
            <v>44562</v>
          </cell>
        </row>
        <row r="329">
          <cell r="B329">
            <v>44524</v>
          </cell>
          <cell r="C329">
            <v>44562</v>
          </cell>
        </row>
        <row r="330">
          <cell r="B330">
            <v>44525</v>
          </cell>
          <cell r="C330">
            <v>44562</v>
          </cell>
        </row>
        <row r="331">
          <cell r="B331">
            <v>44526</v>
          </cell>
          <cell r="C331">
            <v>44562</v>
          </cell>
        </row>
        <row r="332">
          <cell r="B332">
            <v>44527</v>
          </cell>
          <cell r="C332">
            <v>44562</v>
          </cell>
        </row>
        <row r="333">
          <cell r="B333">
            <v>44528</v>
          </cell>
          <cell r="C333">
            <v>44562</v>
          </cell>
        </row>
        <row r="334">
          <cell r="B334">
            <v>44529</v>
          </cell>
          <cell r="C334">
            <v>44562</v>
          </cell>
        </row>
        <row r="335">
          <cell r="B335">
            <v>44530</v>
          </cell>
          <cell r="C335">
            <v>44562</v>
          </cell>
        </row>
        <row r="336">
          <cell r="B336">
            <v>44531</v>
          </cell>
          <cell r="C336">
            <v>44562</v>
          </cell>
        </row>
        <row r="337">
          <cell r="B337">
            <v>44532</v>
          </cell>
          <cell r="C337">
            <v>44562</v>
          </cell>
        </row>
        <row r="338">
          <cell r="B338">
            <v>44533</v>
          </cell>
          <cell r="C338">
            <v>44562</v>
          </cell>
        </row>
        <row r="339">
          <cell r="B339">
            <v>44534</v>
          </cell>
          <cell r="C339">
            <v>44562</v>
          </cell>
        </row>
        <row r="340">
          <cell r="B340">
            <v>44535</v>
          </cell>
          <cell r="C340">
            <v>44562</v>
          </cell>
        </row>
        <row r="341">
          <cell r="B341">
            <v>44536</v>
          </cell>
          <cell r="C341">
            <v>44562</v>
          </cell>
        </row>
        <row r="342">
          <cell r="B342">
            <v>44537</v>
          </cell>
          <cell r="C342">
            <v>44562</v>
          </cell>
        </row>
        <row r="343">
          <cell r="B343">
            <v>44538</v>
          </cell>
          <cell r="C343">
            <v>44562</v>
          </cell>
        </row>
        <row r="344">
          <cell r="B344">
            <v>44539</v>
          </cell>
          <cell r="C344">
            <v>44562</v>
          </cell>
        </row>
        <row r="345">
          <cell r="B345">
            <v>44540</v>
          </cell>
          <cell r="C345">
            <v>44562</v>
          </cell>
        </row>
        <row r="346">
          <cell r="B346">
            <v>44541</v>
          </cell>
          <cell r="C346">
            <v>44562</v>
          </cell>
        </row>
        <row r="347">
          <cell r="B347">
            <v>44542</v>
          </cell>
          <cell r="C347">
            <v>44562</v>
          </cell>
        </row>
        <row r="348">
          <cell r="B348">
            <v>44543</v>
          </cell>
          <cell r="C348">
            <v>44562</v>
          </cell>
        </row>
        <row r="349">
          <cell r="B349">
            <v>44544</v>
          </cell>
          <cell r="C349">
            <v>44562</v>
          </cell>
        </row>
        <row r="350">
          <cell r="B350">
            <v>44545</v>
          </cell>
          <cell r="C350">
            <v>44562</v>
          </cell>
        </row>
        <row r="351">
          <cell r="B351">
            <v>44546</v>
          </cell>
          <cell r="C351">
            <v>44593</v>
          </cell>
        </row>
        <row r="352">
          <cell r="B352">
            <v>44547</v>
          </cell>
          <cell r="C352">
            <v>44593</v>
          </cell>
        </row>
        <row r="353">
          <cell r="B353">
            <v>44548</v>
          </cell>
          <cell r="C353">
            <v>44593</v>
          </cell>
        </row>
        <row r="354">
          <cell r="B354">
            <v>44549</v>
          </cell>
          <cell r="C354">
            <v>44593</v>
          </cell>
        </row>
        <row r="355">
          <cell r="B355">
            <v>44550</v>
          </cell>
          <cell r="C355">
            <v>44593</v>
          </cell>
        </row>
        <row r="356">
          <cell r="B356">
            <v>44551</v>
          </cell>
          <cell r="C356">
            <v>44593</v>
          </cell>
        </row>
        <row r="357">
          <cell r="B357">
            <v>44552</v>
          </cell>
          <cell r="C357">
            <v>44593</v>
          </cell>
        </row>
        <row r="358">
          <cell r="B358">
            <v>44553</v>
          </cell>
          <cell r="C358">
            <v>44593</v>
          </cell>
        </row>
        <row r="359">
          <cell r="B359">
            <v>44554</v>
          </cell>
          <cell r="C359">
            <v>44593</v>
          </cell>
        </row>
        <row r="360">
          <cell r="B360">
            <v>44555</v>
          </cell>
          <cell r="C360">
            <v>44593</v>
          </cell>
        </row>
        <row r="361">
          <cell r="B361">
            <v>44556</v>
          </cell>
          <cell r="C361">
            <v>44593</v>
          </cell>
        </row>
        <row r="362">
          <cell r="B362">
            <v>44557</v>
          </cell>
          <cell r="C362">
            <v>44593</v>
          </cell>
        </row>
        <row r="363">
          <cell r="B363">
            <v>44558</v>
          </cell>
          <cell r="C363">
            <v>44593</v>
          </cell>
        </row>
        <row r="364">
          <cell r="B364">
            <v>44559</v>
          </cell>
          <cell r="C364">
            <v>44593</v>
          </cell>
        </row>
        <row r="365">
          <cell r="B365">
            <v>44560</v>
          </cell>
          <cell r="C365">
            <v>44593</v>
          </cell>
        </row>
        <row r="366">
          <cell r="B366">
            <v>44561</v>
          </cell>
          <cell r="C366">
            <v>44593</v>
          </cell>
        </row>
        <row r="367">
          <cell r="B367">
            <v>44562</v>
          </cell>
          <cell r="C367">
            <v>44593</v>
          </cell>
        </row>
        <row r="368">
          <cell r="B368">
            <v>44563</v>
          </cell>
          <cell r="C368">
            <v>44593</v>
          </cell>
        </row>
        <row r="369">
          <cell r="B369">
            <v>44564</v>
          </cell>
          <cell r="C369">
            <v>44593</v>
          </cell>
        </row>
        <row r="370">
          <cell r="B370">
            <v>44565</v>
          </cell>
          <cell r="C370">
            <v>44593</v>
          </cell>
        </row>
        <row r="371">
          <cell r="B371">
            <v>44566</v>
          </cell>
          <cell r="C371">
            <v>44593</v>
          </cell>
        </row>
        <row r="372">
          <cell r="B372">
            <v>44567</v>
          </cell>
          <cell r="C372">
            <v>44593</v>
          </cell>
        </row>
        <row r="373">
          <cell r="B373">
            <v>44568</v>
          </cell>
          <cell r="C373">
            <v>44593</v>
          </cell>
        </row>
        <row r="374">
          <cell r="B374">
            <v>44569</v>
          </cell>
          <cell r="C374">
            <v>44593</v>
          </cell>
        </row>
        <row r="375">
          <cell r="B375">
            <v>44570</v>
          </cell>
          <cell r="C375">
            <v>44593</v>
          </cell>
        </row>
        <row r="376">
          <cell r="B376">
            <v>44571</v>
          </cell>
          <cell r="C376">
            <v>44593</v>
          </cell>
        </row>
        <row r="377">
          <cell r="B377">
            <v>44572</v>
          </cell>
          <cell r="C377">
            <v>44593</v>
          </cell>
        </row>
        <row r="378">
          <cell r="B378">
            <v>44573</v>
          </cell>
          <cell r="C378">
            <v>44593</v>
          </cell>
        </row>
        <row r="379">
          <cell r="B379">
            <v>44574</v>
          </cell>
          <cell r="C379">
            <v>44593</v>
          </cell>
        </row>
        <row r="380">
          <cell r="B380">
            <v>44575</v>
          </cell>
          <cell r="C380">
            <v>44593</v>
          </cell>
        </row>
        <row r="381">
          <cell r="B381">
            <v>44576</v>
          </cell>
          <cell r="C381">
            <v>44593</v>
          </cell>
        </row>
        <row r="382">
          <cell r="B382">
            <v>44577</v>
          </cell>
          <cell r="C382">
            <v>44621</v>
          </cell>
        </row>
        <row r="383">
          <cell r="B383">
            <v>44578</v>
          </cell>
          <cell r="C383">
            <v>44621</v>
          </cell>
        </row>
        <row r="384">
          <cell r="B384">
            <v>44579</v>
          </cell>
          <cell r="C384">
            <v>44621</v>
          </cell>
        </row>
        <row r="385">
          <cell r="B385">
            <v>44580</v>
          </cell>
          <cell r="C385">
            <v>44621</v>
          </cell>
        </row>
        <row r="386">
          <cell r="B386">
            <v>44581</v>
          </cell>
          <cell r="C386">
            <v>44621</v>
          </cell>
        </row>
        <row r="387">
          <cell r="B387">
            <v>44582</v>
          </cell>
          <cell r="C387">
            <v>44621</v>
          </cell>
        </row>
        <row r="388">
          <cell r="B388">
            <v>44583</v>
          </cell>
          <cell r="C388">
            <v>44621</v>
          </cell>
        </row>
        <row r="389">
          <cell r="B389">
            <v>44584</v>
          </cell>
          <cell r="C389">
            <v>44621</v>
          </cell>
        </row>
        <row r="390">
          <cell r="B390">
            <v>44585</v>
          </cell>
          <cell r="C390">
            <v>44621</v>
          </cell>
        </row>
        <row r="391">
          <cell r="B391">
            <v>44586</v>
          </cell>
          <cell r="C391">
            <v>44621</v>
          </cell>
        </row>
        <row r="392">
          <cell r="B392">
            <v>44587</v>
          </cell>
          <cell r="C392">
            <v>44621</v>
          </cell>
        </row>
        <row r="393">
          <cell r="B393">
            <v>44588</v>
          </cell>
          <cell r="C393">
            <v>44621</v>
          </cell>
        </row>
        <row r="394">
          <cell r="B394">
            <v>44589</v>
          </cell>
          <cell r="C394">
            <v>44621</v>
          </cell>
        </row>
        <row r="395">
          <cell r="B395">
            <v>44590</v>
          </cell>
          <cell r="C395">
            <v>44621</v>
          </cell>
        </row>
        <row r="396">
          <cell r="B396">
            <v>44591</v>
          </cell>
          <cell r="C396">
            <v>44621</v>
          </cell>
        </row>
        <row r="397">
          <cell r="B397">
            <v>44592</v>
          </cell>
          <cell r="C397">
            <v>44621</v>
          </cell>
        </row>
        <row r="398">
          <cell r="B398">
            <v>44593</v>
          </cell>
          <cell r="C398">
            <v>44621</v>
          </cell>
        </row>
        <row r="399">
          <cell r="B399">
            <v>44594</v>
          </cell>
          <cell r="C399">
            <v>44621</v>
          </cell>
        </row>
        <row r="400">
          <cell r="B400">
            <v>44595</v>
          </cell>
          <cell r="C400">
            <v>44621</v>
          </cell>
        </row>
        <row r="401">
          <cell r="B401">
            <v>44596</v>
          </cell>
          <cell r="C401">
            <v>44621</v>
          </cell>
        </row>
        <row r="402">
          <cell r="B402">
            <v>44597</v>
          </cell>
          <cell r="C402">
            <v>44621</v>
          </cell>
        </row>
        <row r="403">
          <cell r="B403">
            <v>44598</v>
          </cell>
          <cell r="C403">
            <v>44621</v>
          </cell>
        </row>
        <row r="404">
          <cell r="B404">
            <v>44599</v>
          </cell>
          <cell r="C404">
            <v>44621</v>
          </cell>
        </row>
        <row r="405">
          <cell r="B405">
            <v>44600</v>
          </cell>
          <cell r="C405">
            <v>44621</v>
          </cell>
        </row>
        <row r="406">
          <cell r="B406">
            <v>44601</v>
          </cell>
          <cell r="C406">
            <v>44621</v>
          </cell>
        </row>
        <row r="407">
          <cell r="B407">
            <v>44602</v>
          </cell>
          <cell r="C407">
            <v>44621</v>
          </cell>
        </row>
        <row r="408">
          <cell r="B408">
            <v>44603</v>
          </cell>
          <cell r="C408">
            <v>44621</v>
          </cell>
        </row>
        <row r="409">
          <cell r="B409">
            <v>44604</v>
          </cell>
          <cell r="C409">
            <v>44621</v>
          </cell>
        </row>
        <row r="410">
          <cell r="B410">
            <v>44605</v>
          </cell>
          <cell r="C410">
            <v>44621</v>
          </cell>
        </row>
        <row r="411">
          <cell r="B411">
            <v>44606</v>
          </cell>
          <cell r="C411">
            <v>44621</v>
          </cell>
        </row>
        <row r="412">
          <cell r="B412">
            <v>44607</v>
          </cell>
          <cell r="C412">
            <v>44621</v>
          </cell>
        </row>
        <row r="413">
          <cell r="B413">
            <v>44608</v>
          </cell>
          <cell r="C413">
            <v>44652</v>
          </cell>
        </row>
        <row r="414">
          <cell r="B414">
            <v>44609</v>
          </cell>
          <cell r="C414">
            <v>44652</v>
          </cell>
        </row>
        <row r="415">
          <cell r="B415">
            <v>44610</v>
          </cell>
          <cell r="C415">
            <v>44652</v>
          </cell>
        </row>
        <row r="416">
          <cell r="B416">
            <v>44611</v>
          </cell>
          <cell r="C416">
            <v>44652</v>
          </cell>
        </row>
        <row r="417">
          <cell r="B417">
            <v>44612</v>
          </cell>
          <cell r="C417">
            <v>44652</v>
          </cell>
        </row>
        <row r="418">
          <cell r="B418">
            <v>44613</v>
          </cell>
          <cell r="C418">
            <v>44652</v>
          </cell>
        </row>
        <row r="419">
          <cell r="B419">
            <v>44614</v>
          </cell>
          <cell r="C419">
            <v>44652</v>
          </cell>
        </row>
        <row r="420">
          <cell r="B420">
            <v>44615</v>
          </cell>
          <cell r="C420">
            <v>44652</v>
          </cell>
        </row>
        <row r="421">
          <cell r="B421">
            <v>44616</v>
          </cell>
          <cell r="C421">
            <v>44652</v>
          </cell>
        </row>
        <row r="422">
          <cell r="B422">
            <v>44617</v>
          </cell>
          <cell r="C422">
            <v>44652</v>
          </cell>
        </row>
        <row r="423">
          <cell r="B423">
            <v>44618</v>
          </cell>
          <cell r="C423">
            <v>44652</v>
          </cell>
        </row>
        <row r="424">
          <cell r="B424">
            <v>44619</v>
          </cell>
          <cell r="C424">
            <v>44652</v>
          </cell>
        </row>
        <row r="425">
          <cell r="B425">
            <v>44620</v>
          </cell>
          <cell r="C425">
            <v>44652</v>
          </cell>
        </row>
        <row r="426">
          <cell r="B426">
            <v>44621</v>
          </cell>
          <cell r="C426">
            <v>44652</v>
          </cell>
        </row>
        <row r="427">
          <cell r="B427">
            <v>44622</v>
          </cell>
          <cell r="C427">
            <v>44652</v>
          </cell>
        </row>
        <row r="428">
          <cell r="B428">
            <v>44623</v>
          </cell>
          <cell r="C428">
            <v>44652</v>
          </cell>
        </row>
        <row r="429">
          <cell r="B429">
            <v>44624</v>
          </cell>
          <cell r="C429">
            <v>44652</v>
          </cell>
        </row>
        <row r="430">
          <cell r="B430">
            <v>44625</v>
          </cell>
          <cell r="C430">
            <v>44652</v>
          </cell>
        </row>
        <row r="431">
          <cell r="B431">
            <v>44626</v>
          </cell>
          <cell r="C431">
            <v>44652</v>
          </cell>
        </row>
        <row r="432">
          <cell r="B432">
            <v>44627</v>
          </cell>
          <cell r="C432">
            <v>44652</v>
          </cell>
        </row>
        <row r="433">
          <cell r="B433">
            <v>44628</v>
          </cell>
          <cell r="C433">
            <v>44652</v>
          </cell>
        </row>
        <row r="434">
          <cell r="B434">
            <v>44629</v>
          </cell>
          <cell r="C434">
            <v>44652</v>
          </cell>
        </row>
        <row r="435">
          <cell r="B435">
            <v>44630</v>
          </cell>
          <cell r="C435">
            <v>44652</v>
          </cell>
        </row>
        <row r="436">
          <cell r="B436">
            <v>44631</v>
          </cell>
          <cell r="C436">
            <v>44652</v>
          </cell>
        </row>
        <row r="437">
          <cell r="B437">
            <v>44632</v>
          </cell>
          <cell r="C437">
            <v>44652</v>
          </cell>
        </row>
        <row r="438">
          <cell r="B438">
            <v>44633</v>
          </cell>
          <cell r="C438">
            <v>44652</v>
          </cell>
        </row>
        <row r="439">
          <cell r="B439">
            <v>44634</v>
          </cell>
          <cell r="C439">
            <v>44652</v>
          </cell>
        </row>
        <row r="440">
          <cell r="B440">
            <v>44635</v>
          </cell>
          <cell r="C440">
            <v>44652</v>
          </cell>
        </row>
        <row r="441">
          <cell r="B441">
            <v>44636</v>
          </cell>
          <cell r="C441">
            <v>44682</v>
          </cell>
        </row>
        <row r="442">
          <cell r="B442">
            <v>44637</v>
          </cell>
          <cell r="C442">
            <v>44682</v>
          </cell>
        </row>
        <row r="443">
          <cell r="B443">
            <v>44638</v>
          </cell>
          <cell r="C443">
            <v>44682</v>
          </cell>
        </row>
        <row r="444">
          <cell r="B444">
            <v>44639</v>
          </cell>
          <cell r="C444">
            <v>44682</v>
          </cell>
        </row>
        <row r="445">
          <cell r="B445">
            <v>44640</v>
          </cell>
          <cell r="C445">
            <v>44682</v>
          </cell>
        </row>
        <row r="446">
          <cell r="B446">
            <v>44641</v>
          </cell>
          <cell r="C446">
            <v>44682</v>
          </cell>
        </row>
        <row r="447">
          <cell r="B447">
            <v>44642</v>
          </cell>
          <cell r="C447">
            <v>44682</v>
          </cell>
        </row>
        <row r="448">
          <cell r="B448">
            <v>44643</v>
          </cell>
          <cell r="C448">
            <v>44682</v>
          </cell>
        </row>
        <row r="449">
          <cell r="B449">
            <v>44644</v>
          </cell>
          <cell r="C449">
            <v>44682</v>
          </cell>
        </row>
        <row r="450">
          <cell r="B450">
            <v>44645</v>
          </cell>
          <cell r="C450">
            <v>44682</v>
          </cell>
        </row>
        <row r="451">
          <cell r="B451">
            <v>44646</v>
          </cell>
          <cell r="C451">
            <v>44682</v>
          </cell>
        </row>
        <row r="452">
          <cell r="B452">
            <v>44647</v>
          </cell>
          <cell r="C452">
            <v>44682</v>
          </cell>
        </row>
        <row r="453">
          <cell r="B453">
            <v>44648</v>
          </cell>
          <cell r="C453">
            <v>44682</v>
          </cell>
        </row>
        <row r="454">
          <cell r="B454">
            <v>44649</v>
          </cell>
          <cell r="C454">
            <v>44682</v>
          </cell>
        </row>
        <row r="455">
          <cell r="B455">
            <v>44650</v>
          </cell>
          <cell r="C455">
            <v>44682</v>
          </cell>
        </row>
        <row r="456">
          <cell r="B456">
            <v>44651</v>
          </cell>
          <cell r="C456">
            <v>44682</v>
          </cell>
        </row>
        <row r="457">
          <cell r="B457">
            <v>44652</v>
          </cell>
          <cell r="C457">
            <v>44682</v>
          </cell>
        </row>
        <row r="458">
          <cell r="B458">
            <v>44653</v>
          </cell>
          <cell r="C458">
            <v>44682</v>
          </cell>
        </row>
        <row r="459">
          <cell r="B459">
            <v>44654</v>
          </cell>
          <cell r="C459">
            <v>44682</v>
          </cell>
        </row>
        <row r="460">
          <cell r="B460">
            <v>44655</v>
          </cell>
          <cell r="C460">
            <v>44682</v>
          </cell>
        </row>
        <row r="461">
          <cell r="B461">
            <v>44656</v>
          </cell>
          <cell r="C461">
            <v>44682</v>
          </cell>
        </row>
        <row r="462">
          <cell r="B462">
            <v>44657</v>
          </cell>
          <cell r="C462">
            <v>44682</v>
          </cell>
        </row>
        <row r="463">
          <cell r="B463">
            <v>44658</v>
          </cell>
          <cell r="C463">
            <v>44682</v>
          </cell>
        </row>
        <row r="464">
          <cell r="B464">
            <v>44659</v>
          </cell>
          <cell r="C464">
            <v>44682</v>
          </cell>
        </row>
        <row r="465">
          <cell r="B465">
            <v>44660</v>
          </cell>
          <cell r="C465">
            <v>44682</v>
          </cell>
        </row>
        <row r="466">
          <cell r="B466">
            <v>44661</v>
          </cell>
          <cell r="C466">
            <v>44682</v>
          </cell>
        </row>
        <row r="467">
          <cell r="B467">
            <v>44662</v>
          </cell>
          <cell r="C467">
            <v>44682</v>
          </cell>
        </row>
        <row r="468">
          <cell r="B468">
            <v>44663</v>
          </cell>
          <cell r="C468">
            <v>44682</v>
          </cell>
        </row>
        <row r="469">
          <cell r="B469">
            <v>44664</v>
          </cell>
          <cell r="C469">
            <v>44682</v>
          </cell>
        </row>
        <row r="470">
          <cell r="B470">
            <v>44665</v>
          </cell>
          <cell r="C470">
            <v>44682</v>
          </cell>
        </row>
        <row r="471">
          <cell r="B471">
            <v>44666</v>
          </cell>
          <cell r="C471">
            <v>44682</v>
          </cell>
        </row>
        <row r="472">
          <cell r="B472">
            <v>44667</v>
          </cell>
          <cell r="C472">
            <v>44713</v>
          </cell>
        </row>
        <row r="473">
          <cell r="B473">
            <v>44668</v>
          </cell>
          <cell r="C473">
            <v>44713</v>
          </cell>
        </row>
        <row r="474">
          <cell r="B474">
            <v>44669</v>
          </cell>
          <cell r="C474">
            <v>44713</v>
          </cell>
        </row>
        <row r="475">
          <cell r="B475">
            <v>44670</v>
          </cell>
          <cell r="C475">
            <v>44713</v>
          </cell>
        </row>
        <row r="476">
          <cell r="B476">
            <v>44671</v>
          </cell>
          <cell r="C476">
            <v>44713</v>
          </cell>
        </row>
        <row r="477">
          <cell r="B477">
            <v>44672</v>
          </cell>
          <cell r="C477">
            <v>44713</v>
          </cell>
        </row>
        <row r="478">
          <cell r="B478">
            <v>44673</v>
          </cell>
          <cell r="C478">
            <v>44713</v>
          </cell>
        </row>
        <row r="479">
          <cell r="B479">
            <v>44674</v>
          </cell>
          <cell r="C479">
            <v>44713</v>
          </cell>
        </row>
        <row r="480">
          <cell r="B480">
            <v>44675</v>
          </cell>
          <cell r="C480">
            <v>44713</v>
          </cell>
        </row>
        <row r="481">
          <cell r="B481">
            <v>44676</v>
          </cell>
          <cell r="C481">
            <v>44713</v>
          </cell>
        </row>
        <row r="482">
          <cell r="B482">
            <v>44677</v>
          </cell>
          <cell r="C482">
            <v>44713</v>
          </cell>
        </row>
        <row r="483">
          <cell r="B483">
            <v>44678</v>
          </cell>
          <cell r="C483">
            <v>44713</v>
          </cell>
        </row>
        <row r="484">
          <cell r="B484">
            <v>44679</v>
          </cell>
          <cell r="C484">
            <v>44713</v>
          </cell>
        </row>
        <row r="485">
          <cell r="B485">
            <v>44680</v>
          </cell>
          <cell r="C485">
            <v>44713</v>
          </cell>
        </row>
        <row r="486">
          <cell r="B486">
            <v>44681</v>
          </cell>
          <cell r="C486">
            <v>44713</v>
          </cell>
        </row>
        <row r="487">
          <cell r="B487">
            <v>44682</v>
          </cell>
          <cell r="C487">
            <v>44713</v>
          </cell>
        </row>
        <row r="488">
          <cell r="B488">
            <v>44683</v>
          </cell>
          <cell r="C488">
            <v>44713</v>
          </cell>
        </row>
        <row r="489">
          <cell r="B489">
            <v>44684</v>
          </cell>
          <cell r="C489">
            <v>44713</v>
          </cell>
        </row>
        <row r="490">
          <cell r="B490">
            <v>44685</v>
          </cell>
          <cell r="C490">
            <v>44713</v>
          </cell>
        </row>
        <row r="491">
          <cell r="B491">
            <v>44686</v>
          </cell>
          <cell r="C491">
            <v>44713</v>
          </cell>
        </row>
        <row r="492">
          <cell r="B492">
            <v>44687</v>
          </cell>
          <cell r="C492">
            <v>44713</v>
          </cell>
        </row>
        <row r="493">
          <cell r="B493">
            <v>44688</v>
          </cell>
          <cell r="C493">
            <v>44713</v>
          </cell>
        </row>
        <row r="494">
          <cell r="B494">
            <v>44689</v>
          </cell>
          <cell r="C494">
            <v>44713</v>
          </cell>
        </row>
        <row r="495">
          <cell r="B495">
            <v>44690</v>
          </cell>
          <cell r="C495">
            <v>44713</v>
          </cell>
        </row>
        <row r="496">
          <cell r="B496">
            <v>44691</v>
          </cell>
          <cell r="C496">
            <v>44713</v>
          </cell>
        </row>
        <row r="497">
          <cell r="B497">
            <v>44692</v>
          </cell>
          <cell r="C497">
            <v>44713</v>
          </cell>
        </row>
        <row r="498">
          <cell r="B498">
            <v>44693</v>
          </cell>
          <cell r="C498">
            <v>44713</v>
          </cell>
        </row>
        <row r="499">
          <cell r="B499">
            <v>44694</v>
          </cell>
          <cell r="C499">
            <v>44713</v>
          </cell>
        </row>
        <row r="500">
          <cell r="B500">
            <v>44695</v>
          </cell>
          <cell r="C500">
            <v>44713</v>
          </cell>
        </row>
        <row r="501">
          <cell r="B501">
            <v>44696</v>
          </cell>
          <cell r="C501">
            <v>44713</v>
          </cell>
        </row>
        <row r="502">
          <cell r="B502">
            <v>44697</v>
          </cell>
          <cell r="C502">
            <v>44743</v>
          </cell>
        </row>
        <row r="503">
          <cell r="B503">
            <v>44698</v>
          </cell>
          <cell r="C503">
            <v>44743</v>
          </cell>
        </row>
        <row r="504">
          <cell r="B504">
            <v>44699</v>
          </cell>
          <cell r="C504">
            <v>44743</v>
          </cell>
        </row>
        <row r="505">
          <cell r="B505">
            <v>44700</v>
          </cell>
          <cell r="C505">
            <v>44743</v>
          </cell>
        </row>
        <row r="506">
          <cell r="B506">
            <v>44701</v>
          </cell>
          <cell r="C506">
            <v>44743</v>
          </cell>
        </row>
        <row r="507">
          <cell r="B507">
            <v>44702</v>
          </cell>
          <cell r="C507">
            <v>44743</v>
          </cell>
        </row>
        <row r="508">
          <cell r="B508">
            <v>44703</v>
          </cell>
          <cell r="C508">
            <v>44743</v>
          </cell>
        </row>
        <row r="509">
          <cell r="B509">
            <v>44704</v>
          </cell>
          <cell r="C509">
            <v>44743</v>
          </cell>
        </row>
        <row r="510">
          <cell r="B510">
            <v>44705</v>
          </cell>
          <cell r="C510">
            <v>44743</v>
          </cell>
        </row>
        <row r="511">
          <cell r="B511">
            <v>44706</v>
          </cell>
          <cell r="C511">
            <v>44743</v>
          </cell>
        </row>
        <row r="512">
          <cell r="B512">
            <v>44707</v>
          </cell>
          <cell r="C512">
            <v>44743</v>
          </cell>
        </row>
        <row r="513">
          <cell r="B513">
            <v>44708</v>
          </cell>
          <cell r="C513">
            <v>44743</v>
          </cell>
        </row>
        <row r="514">
          <cell r="B514">
            <v>44709</v>
          </cell>
          <cell r="C514">
            <v>44743</v>
          </cell>
        </row>
        <row r="515">
          <cell r="B515">
            <v>44710</v>
          </cell>
          <cell r="C515">
            <v>44743</v>
          </cell>
        </row>
        <row r="516">
          <cell r="B516">
            <v>44711</v>
          </cell>
          <cell r="C516">
            <v>44743</v>
          </cell>
        </row>
        <row r="517">
          <cell r="B517">
            <v>44712</v>
          </cell>
          <cell r="C517">
            <v>44743</v>
          </cell>
        </row>
        <row r="518">
          <cell r="B518">
            <v>44713</v>
          </cell>
          <cell r="C518">
            <v>44743</v>
          </cell>
        </row>
        <row r="519">
          <cell r="B519">
            <v>44714</v>
          </cell>
          <cell r="C519">
            <v>44743</v>
          </cell>
        </row>
        <row r="520">
          <cell r="B520">
            <v>44715</v>
          </cell>
          <cell r="C520">
            <v>44743</v>
          </cell>
        </row>
        <row r="521">
          <cell r="B521">
            <v>44716</v>
          </cell>
          <cell r="C521">
            <v>44743</v>
          </cell>
        </row>
        <row r="522">
          <cell r="B522">
            <v>44717</v>
          </cell>
          <cell r="C522">
            <v>44743</v>
          </cell>
        </row>
        <row r="523">
          <cell r="B523">
            <v>44718</v>
          </cell>
          <cell r="C523">
            <v>44743</v>
          </cell>
        </row>
        <row r="524">
          <cell r="B524">
            <v>44719</v>
          </cell>
          <cell r="C524">
            <v>44743</v>
          </cell>
        </row>
        <row r="525">
          <cell r="B525">
            <v>44720</v>
          </cell>
          <cell r="C525">
            <v>44743</v>
          </cell>
        </row>
        <row r="526">
          <cell r="B526">
            <v>44721</v>
          </cell>
          <cell r="C526">
            <v>44743</v>
          </cell>
        </row>
        <row r="527">
          <cell r="B527">
            <v>44722</v>
          </cell>
          <cell r="C527">
            <v>44743</v>
          </cell>
        </row>
        <row r="528">
          <cell r="B528">
            <v>44723</v>
          </cell>
          <cell r="C528">
            <v>44743</v>
          </cell>
        </row>
        <row r="529">
          <cell r="B529">
            <v>44724</v>
          </cell>
          <cell r="C529">
            <v>44743</v>
          </cell>
        </row>
        <row r="530">
          <cell r="B530">
            <v>44725</v>
          </cell>
          <cell r="C530">
            <v>44743</v>
          </cell>
        </row>
        <row r="531">
          <cell r="B531">
            <v>44726</v>
          </cell>
          <cell r="C531">
            <v>44743</v>
          </cell>
        </row>
        <row r="532">
          <cell r="B532">
            <v>44727</v>
          </cell>
          <cell r="C532">
            <v>44743</v>
          </cell>
        </row>
        <row r="533">
          <cell r="B533">
            <v>44728</v>
          </cell>
          <cell r="C533">
            <v>44774</v>
          </cell>
        </row>
        <row r="534">
          <cell r="B534">
            <v>44729</v>
          </cell>
          <cell r="C534">
            <v>44774</v>
          </cell>
        </row>
        <row r="535">
          <cell r="B535">
            <v>44730</v>
          </cell>
          <cell r="C535">
            <v>44774</v>
          </cell>
        </row>
        <row r="536">
          <cell r="B536">
            <v>44731</v>
          </cell>
          <cell r="C536">
            <v>44774</v>
          </cell>
        </row>
        <row r="537">
          <cell r="B537">
            <v>44732</v>
          </cell>
          <cell r="C537">
            <v>44774</v>
          </cell>
        </row>
        <row r="538">
          <cell r="B538">
            <v>44733</v>
          </cell>
          <cell r="C538">
            <v>44774</v>
          </cell>
        </row>
        <row r="539">
          <cell r="B539">
            <v>44734</v>
          </cell>
          <cell r="C539">
            <v>44774</v>
          </cell>
        </row>
        <row r="540">
          <cell r="B540">
            <v>44735</v>
          </cell>
          <cell r="C540">
            <v>44774</v>
          </cell>
        </row>
        <row r="541">
          <cell r="B541">
            <v>44736</v>
          </cell>
          <cell r="C541">
            <v>44774</v>
          </cell>
        </row>
        <row r="542">
          <cell r="B542">
            <v>44737</v>
          </cell>
          <cell r="C542">
            <v>44774</v>
          </cell>
        </row>
        <row r="543">
          <cell r="B543">
            <v>44738</v>
          </cell>
          <cell r="C543">
            <v>44774</v>
          </cell>
        </row>
        <row r="544">
          <cell r="B544">
            <v>44739</v>
          </cell>
          <cell r="C544">
            <v>44774</v>
          </cell>
        </row>
        <row r="545">
          <cell r="B545">
            <v>44740</v>
          </cell>
          <cell r="C545">
            <v>44774</v>
          </cell>
        </row>
        <row r="546">
          <cell r="B546">
            <v>44741</v>
          </cell>
          <cell r="C546">
            <v>44774</v>
          </cell>
        </row>
        <row r="547">
          <cell r="B547">
            <v>44742</v>
          </cell>
          <cell r="C547">
            <v>44774</v>
          </cell>
        </row>
        <row r="548">
          <cell r="B548">
            <v>44743</v>
          </cell>
          <cell r="C548">
            <v>44774</v>
          </cell>
        </row>
        <row r="549">
          <cell r="B549">
            <v>44744</v>
          </cell>
          <cell r="C549">
            <v>44774</v>
          </cell>
        </row>
        <row r="550">
          <cell r="B550">
            <v>44745</v>
          </cell>
          <cell r="C550">
            <v>44774</v>
          </cell>
        </row>
        <row r="551">
          <cell r="B551">
            <v>44746</v>
          </cell>
          <cell r="C551">
            <v>44774</v>
          </cell>
        </row>
        <row r="552">
          <cell r="B552">
            <v>44747</v>
          </cell>
          <cell r="C552">
            <v>44774</v>
          </cell>
        </row>
        <row r="553">
          <cell r="B553">
            <v>44748</v>
          </cell>
          <cell r="C553">
            <v>44774</v>
          </cell>
        </row>
        <row r="554">
          <cell r="B554">
            <v>44749</v>
          </cell>
          <cell r="C554">
            <v>44774</v>
          </cell>
        </row>
        <row r="555">
          <cell r="B555">
            <v>44750</v>
          </cell>
          <cell r="C555">
            <v>44774</v>
          </cell>
        </row>
        <row r="556">
          <cell r="B556">
            <v>44751</v>
          </cell>
          <cell r="C556">
            <v>44774</v>
          </cell>
        </row>
        <row r="557">
          <cell r="B557">
            <v>44752</v>
          </cell>
          <cell r="C557">
            <v>44774</v>
          </cell>
        </row>
        <row r="558">
          <cell r="B558">
            <v>44753</v>
          </cell>
          <cell r="C558">
            <v>44774</v>
          </cell>
        </row>
        <row r="559">
          <cell r="B559">
            <v>44754</v>
          </cell>
          <cell r="C559">
            <v>44774</v>
          </cell>
        </row>
        <row r="560">
          <cell r="B560">
            <v>44755</v>
          </cell>
          <cell r="C560">
            <v>44774</v>
          </cell>
        </row>
        <row r="561">
          <cell r="B561">
            <v>44756</v>
          </cell>
          <cell r="C561">
            <v>44774</v>
          </cell>
        </row>
        <row r="562">
          <cell r="B562">
            <v>44757</v>
          </cell>
          <cell r="C562">
            <v>44774</v>
          </cell>
        </row>
        <row r="563">
          <cell r="B563">
            <v>44758</v>
          </cell>
          <cell r="C563">
            <v>44774</v>
          </cell>
        </row>
        <row r="564">
          <cell r="B564">
            <v>44759</v>
          </cell>
          <cell r="C564">
            <v>44774</v>
          </cell>
        </row>
        <row r="565">
          <cell r="B565">
            <v>44760</v>
          </cell>
          <cell r="C565">
            <v>44805</v>
          </cell>
        </row>
        <row r="566">
          <cell r="B566">
            <v>44761</v>
          </cell>
          <cell r="C566">
            <v>44805</v>
          </cell>
        </row>
        <row r="567">
          <cell r="B567">
            <v>44762</v>
          </cell>
          <cell r="C567">
            <v>44805</v>
          </cell>
        </row>
        <row r="568">
          <cell r="B568">
            <v>44763</v>
          </cell>
          <cell r="C568">
            <v>44805</v>
          </cell>
        </row>
        <row r="569">
          <cell r="B569">
            <v>44764</v>
          </cell>
          <cell r="C569">
            <v>44805</v>
          </cell>
        </row>
        <row r="570">
          <cell r="B570">
            <v>44765</v>
          </cell>
          <cell r="C570">
            <v>44805</v>
          </cell>
        </row>
        <row r="571">
          <cell r="B571">
            <v>44766</v>
          </cell>
          <cell r="C571">
            <v>44805</v>
          </cell>
        </row>
        <row r="572">
          <cell r="B572">
            <v>44767</v>
          </cell>
          <cell r="C572">
            <v>44805</v>
          </cell>
        </row>
        <row r="573">
          <cell r="B573">
            <v>44768</v>
          </cell>
          <cell r="C573">
            <v>44805</v>
          </cell>
        </row>
        <row r="574">
          <cell r="B574">
            <v>44769</v>
          </cell>
          <cell r="C574">
            <v>44805</v>
          </cell>
        </row>
        <row r="575">
          <cell r="B575">
            <v>44770</v>
          </cell>
          <cell r="C575">
            <v>44805</v>
          </cell>
        </row>
        <row r="576">
          <cell r="B576">
            <v>44771</v>
          </cell>
          <cell r="C576">
            <v>44805</v>
          </cell>
        </row>
        <row r="577">
          <cell r="B577">
            <v>44772</v>
          </cell>
          <cell r="C577">
            <v>44805</v>
          </cell>
        </row>
        <row r="578">
          <cell r="B578">
            <v>44773</v>
          </cell>
          <cell r="C578">
            <v>44805</v>
          </cell>
        </row>
        <row r="579">
          <cell r="B579">
            <v>44774</v>
          </cell>
          <cell r="C579">
            <v>44805</v>
          </cell>
        </row>
        <row r="580">
          <cell r="B580">
            <v>44775</v>
          </cell>
          <cell r="C580">
            <v>44805</v>
          </cell>
        </row>
        <row r="581">
          <cell r="B581">
            <v>44776</v>
          </cell>
          <cell r="C581">
            <v>44805</v>
          </cell>
        </row>
        <row r="582">
          <cell r="B582">
            <v>44777</v>
          </cell>
          <cell r="C582">
            <v>44805</v>
          </cell>
        </row>
        <row r="583">
          <cell r="B583">
            <v>44778</v>
          </cell>
          <cell r="C583">
            <v>44805</v>
          </cell>
        </row>
        <row r="584">
          <cell r="B584">
            <v>44779</v>
          </cell>
          <cell r="C584">
            <v>44805</v>
          </cell>
        </row>
        <row r="585">
          <cell r="B585">
            <v>44780</v>
          </cell>
          <cell r="C585">
            <v>44805</v>
          </cell>
        </row>
        <row r="586">
          <cell r="B586">
            <v>44781</v>
          </cell>
          <cell r="C586">
            <v>44805</v>
          </cell>
        </row>
        <row r="587">
          <cell r="B587">
            <v>44782</v>
          </cell>
          <cell r="C587">
            <v>44805</v>
          </cell>
        </row>
        <row r="588">
          <cell r="B588">
            <v>44783</v>
          </cell>
          <cell r="C588">
            <v>44805</v>
          </cell>
        </row>
        <row r="589">
          <cell r="B589">
            <v>44784</v>
          </cell>
          <cell r="C589">
            <v>44805</v>
          </cell>
        </row>
        <row r="590">
          <cell r="B590">
            <v>44785</v>
          </cell>
          <cell r="C590">
            <v>44805</v>
          </cell>
        </row>
        <row r="591">
          <cell r="B591">
            <v>44786</v>
          </cell>
          <cell r="C591">
            <v>44805</v>
          </cell>
        </row>
        <row r="592">
          <cell r="B592">
            <v>44787</v>
          </cell>
          <cell r="C592">
            <v>44805</v>
          </cell>
        </row>
        <row r="593">
          <cell r="B593">
            <v>44788</v>
          </cell>
          <cell r="C593">
            <v>44805</v>
          </cell>
        </row>
        <row r="594">
          <cell r="B594">
            <v>44789</v>
          </cell>
          <cell r="C594">
            <v>44805</v>
          </cell>
        </row>
        <row r="595">
          <cell r="B595">
            <v>44790</v>
          </cell>
          <cell r="C595">
            <v>44805</v>
          </cell>
        </row>
        <row r="596">
          <cell r="B596">
            <v>44791</v>
          </cell>
          <cell r="C596">
            <v>44835</v>
          </cell>
        </row>
        <row r="597">
          <cell r="B597">
            <v>44792</v>
          </cell>
          <cell r="C597">
            <v>44835</v>
          </cell>
        </row>
        <row r="598">
          <cell r="B598">
            <v>44793</v>
          </cell>
          <cell r="C598">
            <v>44835</v>
          </cell>
        </row>
        <row r="599">
          <cell r="B599">
            <v>44794</v>
          </cell>
          <cell r="C599">
            <v>44835</v>
          </cell>
        </row>
        <row r="600">
          <cell r="B600">
            <v>44795</v>
          </cell>
          <cell r="C600">
            <v>44835</v>
          </cell>
        </row>
        <row r="601">
          <cell r="B601">
            <v>44796</v>
          </cell>
          <cell r="C601">
            <v>44835</v>
          </cell>
        </row>
        <row r="602">
          <cell r="B602">
            <v>44797</v>
          </cell>
          <cell r="C602">
            <v>44835</v>
          </cell>
        </row>
        <row r="603">
          <cell r="B603">
            <v>44798</v>
          </cell>
          <cell r="C603">
            <v>44835</v>
          </cell>
        </row>
        <row r="604">
          <cell r="B604">
            <v>44799</v>
          </cell>
          <cell r="C604">
            <v>44835</v>
          </cell>
        </row>
        <row r="605">
          <cell r="B605">
            <v>44800</v>
          </cell>
          <cell r="C605">
            <v>44835</v>
          </cell>
        </row>
        <row r="606">
          <cell r="B606">
            <v>44801</v>
          </cell>
          <cell r="C606">
            <v>44835</v>
          </cell>
        </row>
        <row r="607">
          <cell r="B607">
            <v>44802</v>
          </cell>
          <cell r="C607">
            <v>44835</v>
          </cell>
        </row>
        <row r="608">
          <cell r="B608">
            <v>44803</v>
          </cell>
          <cell r="C608">
            <v>44835</v>
          </cell>
        </row>
        <row r="609">
          <cell r="B609">
            <v>44804</v>
          </cell>
          <cell r="C609">
            <v>44835</v>
          </cell>
        </row>
        <row r="610">
          <cell r="B610">
            <v>44805</v>
          </cell>
          <cell r="C610">
            <v>44835</v>
          </cell>
        </row>
        <row r="611">
          <cell r="B611">
            <v>44806</v>
          </cell>
          <cell r="C611">
            <v>44835</v>
          </cell>
        </row>
        <row r="612">
          <cell r="B612">
            <v>44807</v>
          </cell>
          <cell r="C612">
            <v>44835</v>
          </cell>
        </row>
        <row r="613">
          <cell r="B613">
            <v>44808</v>
          </cell>
          <cell r="C613">
            <v>44835</v>
          </cell>
        </row>
        <row r="614">
          <cell r="B614">
            <v>44809</v>
          </cell>
          <cell r="C614">
            <v>44835</v>
          </cell>
        </row>
        <row r="615">
          <cell r="B615">
            <v>44810</v>
          </cell>
          <cell r="C615">
            <v>44835</v>
          </cell>
        </row>
        <row r="616">
          <cell r="B616">
            <v>44811</v>
          </cell>
          <cell r="C616">
            <v>44835</v>
          </cell>
        </row>
        <row r="617">
          <cell r="B617">
            <v>44812</v>
          </cell>
          <cell r="C617">
            <v>44835</v>
          </cell>
        </row>
        <row r="618">
          <cell r="B618">
            <v>44813</v>
          </cell>
          <cell r="C618">
            <v>44835</v>
          </cell>
        </row>
        <row r="619">
          <cell r="B619">
            <v>44814</v>
          </cell>
          <cell r="C619">
            <v>44835</v>
          </cell>
        </row>
        <row r="620">
          <cell r="B620">
            <v>44815</v>
          </cell>
          <cell r="C620">
            <v>44835</v>
          </cell>
        </row>
        <row r="621">
          <cell r="B621">
            <v>44816</v>
          </cell>
          <cell r="C621">
            <v>44835</v>
          </cell>
        </row>
        <row r="622">
          <cell r="B622">
            <v>44817</v>
          </cell>
          <cell r="C622">
            <v>44835</v>
          </cell>
        </row>
        <row r="623">
          <cell r="B623">
            <v>44818</v>
          </cell>
          <cell r="C623">
            <v>44835</v>
          </cell>
        </row>
        <row r="624">
          <cell r="B624">
            <v>44819</v>
          </cell>
          <cell r="C624">
            <v>44835</v>
          </cell>
        </row>
        <row r="625">
          <cell r="B625">
            <v>44820</v>
          </cell>
          <cell r="C625">
            <v>44835</v>
          </cell>
        </row>
        <row r="626">
          <cell r="B626">
            <v>44821</v>
          </cell>
          <cell r="C626">
            <v>44835</v>
          </cell>
        </row>
        <row r="627">
          <cell r="B627">
            <v>44822</v>
          </cell>
          <cell r="C627">
            <v>44866</v>
          </cell>
        </row>
        <row r="628">
          <cell r="B628">
            <v>44823</v>
          </cell>
          <cell r="C628">
            <v>44866</v>
          </cell>
        </row>
        <row r="629">
          <cell r="B629">
            <v>44824</v>
          </cell>
          <cell r="C629">
            <v>44866</v>
          </cell>
        </row>
        <row r="630">
          <cell r="B630">
            <v>44825</v>
          </cell>
          <cell r="C630">
            <v>44866</v>
          </cell>
        </row>
        <row r="631">
          <cell r="B631">
            <v>44826</v>
          </cell>
          <cell r="C631">
            <v>44866</v>
          </cell>
        </row>
        <row r="632">
          <cell r="B632">
            <v>44827</v>
          </cell>
          <cell r="C632">
            <v>44866</v>
          </cell>
        </row>
        <row r="633">
          <cell r="B633">
            <v>44828</v>
          </cell>
          <cell r="C633">
            <v>44866</v>
          </cell>
        </row>
        <row r="634">
          <cell r="B634">
            <v>44829</v>
          </cell>
          <cell r="C634">
            <v>44866</v>
          </cell>
        </row>
        <row r="635">
          <cell r="B635">
            <v>44830</v>
          </cell>
          <cell r="C635">
            <v>44866</v>
          </cell>
        </row>
        <row r="636">
          <cell r="B636">
            <v>44831</v>
          </cell>
          <cell r="C636">
            <v>44866</v>
          </cell>
        </row>
        <row r="637">
          <cell r="B637">
            <v>44832</v>
          </cell>
          <cell r="C637">
            <v>44866</v>
          </cell>
        </row>
        <row r="638">
          <cell r="B638">
            <v>44833</v>
          </cell>
          <cell r="C638">
            <v>44866</v>
          </cell>
        </row>
        <row r="639">
          <cell r="B639">
            <v>44834</v>
          </cell>
          <cell r="C639">
            <v>44866</v>
          </cell>
        </row>
        <row r="640">
          <cell r="B640">
            <v>44835</v>
          </cell>
          <cell r="C640">
            <v>44866</v>
          </cell>
        </row>
        <row r="641">
          <cell r="B641">
            <v>44836</v>
          </cell>
          <cell r="C641">
            <v>44866</v>
          </cell>
        </row>
        <row r="642">
          <cell r="B642">
            <v>44837</v>
          </cell>
          <cell r="C642">
            <v>44866</v>
          </cell>
        </row>
        <row r="643">
          <cell r="B643">
            <v>44838</v>
          </cell>
          <cell r="C643">
            <v>44866</v>
          </cell>
        </row>
        <row r="644">
          <cell r="B644">
            <v>44839</v>
          </cell>
          <cell r="C644">
            <v>44866</v>
          </cell>
        </row>
        <row r="645">
          <cell r="B645">
            <v>44840</v>
          </cell>
          <cell r="C645">
            <v>44866</v>
          </cell>
        </row>
        <row r="646">
          <cell r="B646">
            <v>44841</v>
          </cell>
          <cell r="C646">
            <v>44866</v>
          </cell>
        </row>
        <row r="647">
          <cell r="B647">
            <v>44842</v>
          </cell>
          <cell r="C647">
            <v>44866</v>
          </cell>
        </row>
        <row r="648">
          <cell r="B648">
            <v>44843</v>
          </cell>
          <cell r="C648">
            <v>44866</v>
          </cell>
        </row>
        <row r="649">
          <cell r="B649">
            <v>44844</v>
          </cell>
          <cell r="C649">
            <v>44866</v>
          </cell>
        </row>
        <row r="650">
          <cell r="B650">
            <v>44845</v>
          </cell>
          <cell r="C650">
            <v>44866</v>
          </cell>
        </row>
        <row r="651">
          <cell r="B651">
            <v>44846</v>
          </cell>
          <cell r="C651">
            <v>44866</v>
          </cell>
        </row>
        <row r="652">
          <cell r="B652">
            <v>44847</v>
          </cell>
          <cell r="C652">
            <v>44866</v>
          </cell>
        </row>
        <row r="653">
          <cell r="B653">
            <v>44848</v>
          </cell>
          <cell r="C653">
            <v>44866</v>
          </cell>
        </row>
        <row r="654">
          <cell r="B654">
            <v>44849</v>
          </cell>
          <cell r="C654">
            <v>44866</v>
          </cell>
        </row>
        <row r="655">
          <cell r="B655">
            <v>44850</v>
          </cell>
          <cell r="C655">
            <v>44866</v>
          </cell>
        </row>
        <row r="656">
          <cell r="B656">
            <v>44851</v>
          </cell>
          <cell r="C656">
            <v>44866</v>
          </cell>
        </row>
        <row r="657">
          <cell r="B657">
            <v>44852</v>
          </cell>
          <cell r="C657">
            <v>44896</v>
          </cell>
        </row>
        <row r="658">
          <cell r="B658">
            <v>44853</v>
          </cell>
          <cell r="C658">
            <v>44896</v>
          </cell>
        </row>
        <row r="659">
          <cell r="B659">
            <v>44854</v>
          </cell>
          <cell r="C659">
            <v>44896</v>
          </cell>
        </row>
        <row r="660">
          <cell r="B660">
            <v>44855</v>
          </cell>
          <cell r="C660">
            <v>44896</v>
          </cell>
        </row>
        <row r="661">
          <cell r="B661">
            <v>44856</v>
          </cell>
          <cell r="C661">
            <v>44896</v>
          </cell>
        </row>
        <row r="662">
          <cell r="B662">
            <v>44857</v>
          </cell>
          <cell r="C662">
            <v>44896</v>
          </cell>
        </row>
        <row r="663">
          <cell r="B663">
            <v>44858</v>
          </cell>
          <cell r="C663">
            <v>44896</v>
          </cell>
        </row>
        <row r="664">
          <cell r="B664">
            <v>44859</v>
          </cell>
          <cell r="C664">
            <v>44896</v>
          </cell>
        </row>
        <row r="665">
          <cell r="B665">
            <v>44860</v>
          </cell>
          <cell r="C665">
            <v>44896</v>
          </cell>
        </row>
        <row r="666">
          <cell r="B666">
            <v>44861</v>
          </cell>
          <cell r="C666">
            <v>44896</v>
          </cell>
        </row>
        <row r="667">
          <cell r="B667">
            <v>44862</v>
          </cell>
          <cell r="C667">
            <v>44896</v>
          </cell>
        </row>
        <row r="668">
          <cell r="B668">
            <v>44863</v>
          </cell>
          <cell r="C668">
            <v>44896</v>
          </cell>
        </row>
        <row r="669">
          <cell r="B669">
            <v>44864</v>
          </cell>
          <cell r="C669">
            <v>44896</v>
          </cell>
        </row>
        <row r="670">
          <cell r="B670">
            <v>44865</v>
          </cell>
          <cell r="C670">
            <v>44896</v>
          </cell>
        </row>
        <row r="671">
          <cell r="B671">
            <v>44866</v>
          </cell>
          <cell r="C671">
            <v>44896</v>
          </cell>
        </row>
        <row r="672">
          <cell r="B672">
            <v>44867</v>
          </cell>
          <cell r="C672">
            <v>44896</v>
          </cell>
        </row>
        <row r="673">
          <cell r="B673">
            <v>44868</v>
          </cell>
          <cell r="C673">
            <v>44896</v>
          </cell>
        </row>
        <row r="674">
          <cell r="B674">
            <v>44869</v>
          </cell>
          <cell r="C674">
            <v>44896</v>
          </cell>
        </row>
        <row r="675">
          <cell r="B675">
            <v>44870</v>
          </cell>
          <cell r="C675">
            <v>44896</v>
          </cell>
        </row>
        <row r="676">
          <cell r="B676">
            <v>44871</v>
          </cell>
          <cell r="C676">
            <v>44896</v>
          </cell>
        </row>
        <row r="677">
          <cell r="B677">
            <v>44872</v>
          </cell>
          <cell r="C677">
            <v>44896</v>
          </cell>
        </row>
        <row r="678">
          <cell r="B678">
            <v>44873</v>
          </cell>
          <cell r="C678">
            <v>44896</v>
          </cell>
        </row>
        <row r="679">
          <cell r="B679">
            <v>44874</v>
          </cell>
          <cell r="C679">
            <v>44896</v>
          </cell>
        </row>
        <row r="680">
          <cell r="B680">
            <v>44875</v>
          </cell>
          <cell r="C680">
            <v>44896</v>
          </cell>
        </row>
        <row r="681">
          <cell r="B681">
            <v>44876</v>
          </cell>
          <cell r="C681">
            <v>44896</v>
          </cell>
        </row>
        <row r="682">
          <cell r="B682">
            <v>44877</v>
          </cell>
          <cell r="C682">
            <v>44896</v>
          </cell>
        </row>
        <row r="683">
          <cell r="B683">
            <v>44878</v>
          </cell>
          <cell r="C683">
            <v>44896</v>
          </cell>
        </row>
        <row r="684">
          <cell r="B684">
            <v>44879</v>
          </cell>
          <cell r="C684">
            <v>44896</v>
          </cell>
        </row>
        <row r="685">
          <cell r="B685">
            <v>44880</v>
          </cell>
          <cell r="C685">
            <v>44896</v>
          </cell>
        </row>
        <row r="686">
          <cell r="B686">
            <v>44881</v>
          </cell>
          <cell r="C686">
            <v>44896</v>
          </cell>
        </row>
        <row r="687">
          <cell r="B687">
            <v>44882</v>
          </cell>
          <cell r="C687">
            <v>44896</v>
          </cell>
        </row>
        <row r="688">
          <cell r="B688">
            <v>44883</v>
          </cell>
          <cell r="C688">
            <v>44927</v>
          </cell>
        </row>
        <row r="689">
          <cell r="B689">
            <v>44884</v>
          </cell>
          <cell r="C689">
            <v>44927</v>
          </cell>
        </row>
        <row r="690">
          <cell r="B690">
            <v>44885</v>
          </cell>
          <cell r="C690">
            <v>44927</v>
          </cell>
        </row>
        <row r="691">
          <cell r="B691">
            <v>44886</v>
          </cell>
          <cell r="C691">
            <v>44927</v>
          </cell>
        </row>
        <row r="692">
          <cell r="B692">
            <v>44887</v>
          </cell>
          <cell r="C692">
            <v>44927</v>
          </cell>
        </row>
        <row r="693">
          <cell r="B693">
            <v>44888</v>
          </cell>
          <cell r="C693">
            <v>44927</v>
          </cell>
        </row>
        <row r="694">
          <cell r="B694">
            <v>44889</v>
          </cell>
          <cell r="C694">
            <v>44927</v>
          </cell>
        </row>
        <row r="695">
          <cell r="B695">
            <v>44890</v>
          </cell>
          <cell r="C695">
            <v>44927</v>
          </cell>
        </row>
        <row r="696">
          <cell r="B696">
            <v>44891</v>
          </cell>
          <cell r="C696">
            <v>44927</v>
          </cell>
        </row>
        <row r="697">
          <cell r="B697">
            <v>44892</v>
          </cell>
          <cell r="C697">
            <v>44927</v>
          </cell>
        </row>
        <row r="698">
          <cell r="B698">
            <v>44893</v>
          </cell>
          <cell r="C698">
            <v>44927</v>
          </cell>
        </row>
        <row r="699">
          <cell r="B699">
            <v>44894</v>
          </cell>
          <cell r="C699">
            <v>44927</v>
          </cell>
        </row>
        <row r="700">
          <cell r="B700">
            <v>44895</v>
          </cell>
          <cell r="C700">
            <v>44927</v>
          </cell>
        </row>
        <row r="701">
          <cell r="B701">
            <v>44896</v>
          </cell>
          <cell r="C701">
            <v>44927</v>
          </cell>
        </row>
        <row r="702">
          <cell r="B702">
            <v>44897</v>
          </cell>
          <cell r="C702">
            <v>44927</v>
          </cell>
        </row>
        <row r="703">
          <cell r="B703">
            <v>44898</v>
          </cell>
          <cell r="C703">
            <v>44927</v>
          </cell>
        </row>
        <row r="704">
          <cell r="B704">
            <v>44899</v>
          </cell>
          <cell r="C704">
            <v>44927</v>
          </cell>
        </row>
        <row r="705">
          <cell r="B705">
            <v>44900</v>
          </cell>
          <cell r="C705">
            <v>44927</v>
          </cell>
        </row>
        <row r="706">
          <cell r="B706">
            <v>44901</v>
          </cell>
          <cell r="C706">
            <v>44927</v>
          </cell>
        </row>
        <row r="707">
          <cell r="B707">
            <v>44902</v>
          </cell>
          <cell r="C707">
            <v>44927</v>
          </cell>
        </row>
        <row r="708">
          <cell r="B708">
            <v>44903</v>
          </cell>
          <cell r="C708">
            <v>44927</v>
          </cell>
        </row>
        <row r="709">
          <cell r="B709">
            <v>44904</v>
          </cell>
          <cell r="C709">
            <v>44927</v>
          </cell>
        </row>
        <row r="710">
          <cell r="B710">
            <v>44905</v>
          </cell>
          <cell r="C710">
            <v>44927</v>
          </cell>
        </row>
        <row r="711">
          <cell r="B711">
            <v>44906</v>
          </cell>
          <cell r="C711">
            <v>44927</v>
          </cell>
        </row>
        <row r="712">
          <cell r="B712">
            <v>44907</v>
          </cell>
          <cell r="C712">
            <v>44927</v>
          </cell>
        </row>
        <row r="713">
          <cell r="B713">
            <v>44908</v>
          </cell>
          <cell r="C713">
            <v>44927</v>
          </cell>
        </row>
        <row r="714">
          <cell r="B714">
            <v>44909</v>
          </cell>
          <cell r="C714">
            <v>44927</v>
          </cell>
        </row>
        <row r="715">
          <cell r="B715">
            <v>44910</v>
          </cell>
          <cell r="C715">
            <v>44927</v>
          </cell>
        </row>
        <row r="716">
          <cell r="B716">
            <v>44911</v>
          </cell>
          <cell r="C716">
            <v>44927</v>
          </cell>
        </row>
        <row r="717">
          <cell r="B717">
            <v>44912</v>
          </cell>
          <cell r="C717">
            <v>44927</v>
          </cell>
        </row>
        <row r="718">
          <cell r="B718">
            <v>44913</v>
          </cell>
          <cell r="C718">
            <v>44958</v>
          </cell>
        </row>
        <row r="719">
          <cell r="B719">
            <v>44914</v>
          </cell>
          <cell r="C719">
            <v>44958</v>
          </cell>
        </row>
        <row r="720">
          <cell r="B720">
            <v>44915</v>
          </cell>
          <cell r="C720">
            <v>44958</v>
          </cell>
        </row>
        <row r="721">
          <cell r="B721">
            <v>44916</v>
          </cell>
          <cell r="C721">
            <v>44958</v>
          </cell>
        </row>
        <row r="722">
          <cell r="B722">
            <v>44917</v>
          </cell>
          <cell r="C722">
            <v>44958</v>
          </cell>
        </row>
        <row r="723">
          <cell r="B723">
            <v>44918</v>
          </cell>
          <cell r="C723">
            <v>44958</v>
          </cell>
        </row>
        <row r="724">
          <cell r="B724">
            <v>44919</v>
          </cell>
          <cell r="C724">
            <v>44958</v>
          </cell>
        </row>
        <row r="725">
          <cell r="B725">
            <v>44920</v>
          </cell>
          <cell r="C725">
            <v>44958</v>
          </cell>
        </row>
        <row r="726">
          <cell r="B726">
            <v>44921</v>
          </cell>
          <cell r="C726">
            <v>44958</v>
          </cell>
        </row>
        <row r="727">
          <cell r="B727">
            <v>44922</v>
          </cell>
          <cell r="C727">
            <v>44958</v>
          </cell>
        </row>
        <row r="728">
          <cell r="B728">
            <v>44923</v>
          </cell>
          <cell r="C728">
            <v>44958</v>
          </cell>
        </row>
        <row r="729">
          <cell r="B729">
            <v>44924</v>
          </cell>
          <cell r="C729">
            <v>44958</v>
          </cell>
        </row>
        <row r="730">
          <cell r="B730">
            <v>44925</v>
          </cell>
          <cell r="C730">
            <v>44958</v>
          </cell>
        </row>
        <row r="731">
          <cell r="B731">
            <v>44926</v>
          </cell>
          <cell r="C731">
            <v>44958</v>
          </cell>
        </row>
        <row r="732">
          <cell r="B732">
            <v>44927</v>
          </cell>
          <cell r="C732">
            <v>44958</v>
          </cell>
        </row>
        <row r="733">
          <cell r="B733">
            <v>44928</v>
          </cell>
          <cell r="C733">
            <v>44958</v>
          </cell>
        </row>
        <row r="734">
          <cell r="B734">
            <v>44929</v>
          </cell>
          <cell r="C734">
            <v>44958</v>
          </cell>
        </row>
        <row r="735">
          <cell r="B735">
            <v>44930</v>
          </cell>
          <cell r="C735">
            <v>44958</v>
          </cell>
        </row>
        <row r="736">
          <cell r="B736">
            <v>44931</v>
          </cell>
          <cell r="C736">
            <v>44958</v>
          </cell>
        </row>
        <row r="737">
          <cell r="B737">
            <v>44932</v>
          </cell>
          <cell r="C737">
            <v>44958</v>
          </cell>
        </row>
        <row r="738">
          <cell r="B738">
            <v>44933</v>
          </cell>
          <cell r="C738">
            <v>44958</v>
          </cell>
        </row>
        <row r="739">
          <cell r="B739">
            <v>44934</v>
          </cell>
          <cell r="C739">
            <v>44958</v>
          </cell>
        </row>
        <row r="740">
          <cell r="B740">
            <v>44935</v>
          </cell>
          <cell r="C740">
            <v>44958</v>
          </cell>
        </row>
        <row r="741">
          <cell r="B741">
            <v>44936</v>
          </cell>
          <cell r="C741">
            <v>44958</v>
          </cell>
        </row>
        <row r="742">
          <cell r="B742">
            <v>44937</v>
          </cell>
          <cell r="C742">
            <v>44958</v>
          </cell>
        </row>
        <row r="743">
          <cell r="B743">
            <v>44938</v>
          </cell>
          <cell r="C743">
            <v>44958</v>
          </cell>
        </row>
        <row r="744">
          <cell r="B744">
            <v>44939</v>
          </cell>
          <cell r="C744">
            <v>44958</v>
          </cell>
        </row>
        <row r="745">
          <cell r="B745">
            <v>44940</v>
          </cell>
          <cell r="C745">
            <v>44958</v>
          </cell>
        </row>
        <row r="746">
          <cell r="B746">
            <v>44941</v>
          </cell>
          <cell r="C746">
            <v>44958</v>
          </cell>
        </row>
        <row r="747">
          <cell r="B747">
            <v>44942</v>
          </cell>
          <cell r="C747">
            <v>44958</v>
          </cell>
        </row>
        <row r="748">
          <cell r="B748">
            <v>44943</v>
          </cell>
          <cell r="C748">
            <v>44958</v>
          </cell>
        </row>
        <row r="749">
          <cell r="B749">
            <v>44944</v>
          </cell>
          <cell r="C749">
            <v>44986</v>
          </cell>
        </row>
        <row r="750">
          <cell r="B750">
            <v>44945</v>
          </cell>
          <cell r="C750">
            <v>44986</v>
          </cell>
        </row>
        <row r="751">
          <cell r="B751">
            <v>44946</v>
          </cell>
          <cell r="C751">
            <v>44986</v>
          </cell>
        </row>
        <row r="752">
          <cell r="B752">
            <v>44947</v>
          </cell>
          <cell r="C752">
            <v>44986</v>
          </cell>
        </row>
        <row r="753">
          <cell r="B753">
            <v>44948</v>
          </cell>
          <cell r="C753">
            <v>44986</v>
          </cell>
        </row>
        <row r="754">
          <cell r="B754">
            <v>44949</v>
          </cell>
          <cell r="C754">
            <v>44986</v>
          </cell>
        </row>
        <row r="755">
          <cell r="B755">
            <v>44950</v>
          </cell>
          <cell r="C755">
            <v>44986</v>
          </cell>
        </row>
        <row r="756">
          <cell r="B756">
            <v>44951</v>
          </cell>
          <cell r="C756">
            <v>44986</v>
          </cell>
        </row>
        <row r="757">
          <cell r="B757">
            <v>44952</v>
          </cell>
          <cell r="C757">
            <v>44986</v>
          </cell>
        </row>
        <row r="758">
          <cell r="B758">
            <v>44953</v>
          </cell>
          <cell r="C758">
            <v>44986</v>
          </cell>
        </row>
        <row r="759">
          <cell r="B759">
            <v>44954</v>
          </cell>
          <cell r="C759">
            <v>44986</v>
          </cell>
        </row>
        <row r="760">
          <cell r="B760">
            <v>44955</v>
          </cell>
          <cell r="C760">
            <v>44986</v>
          </cell>
        </row>
        <row r="761">
          <cell r="B761">
            <v>44956</v>
          </cell>
          <cell r="C761">
            <v>44986</v>
          </cell>
        </row>
        <row r="762">
          <cell r="B762">
            <v>44957</v>
          </cell>
          <cell r="C762">
            <v>44986</v>
          </cell>
        </row>
        <row r="763">
          <cell r="B763">
            <v>44958</v>
          </cell>
          <cell r="C763">
            <v>44986</v>
          </cell>
        </row>
        <row r="764">
          <cell r="B764">
            <v>44959</v>
          </cell>
          <cell r="C764">
            <v>44986</v>
          </cell>
        </row>
        <row r="765">
          <cell r="B765">
            <v>44960</v>
          </cell>
          <cell r="C765">
            <v>44986</v>
          </cell>
        </row>
        <row r="766">
          <cell r="B766">
            <v>44961</v>
          </cell>
          <cell r="C766">
            <v>44986</v>
          </cell>
        </row>
        <row r="767">
          <cell r="B767">
            <v>44962</v>
          </cell>
          <cell r="C767">
            <v>44986</v>
          </cell>
        </row>
        <row r="768">
          <cell r="B768">
            <v>44963</v>
          </cell>
          <cell r="C768">
            <v>44986</v>
          </cell>
        </row>
        <row r="769">
          <cell r="B769">
            <v>44964</v>
          </cell>
          <cell r="C769">
            <v>44986</v>
          </cell>
        </row>
        <row r="770">
          <cell r="B770">
            <v>44965</v>
          </cell>
          <cell r="C770">
            <v>44986</v>
          </cell>
        </row>
        <row r="771">
          <cell r="B771">
            <v>44966</v>
          </cell>
          <cell r="C771">
            <v>44986</v>
          </cell>
        </row>
        <row r="772">
          <cell r="B772">
            <v>44967</v>
          </cell>
          <cell r="C772">
            <v>44986</v>
          </cell>
        </row>
        <row r="773">
          <cell r="B773">
            <v>44968</v>
          </cell>
          <cell r="C773">
            <v>44986</v>
          </cell>
        </row>
        <row r="774">
          <cell r="B774">
            <v>44969</v>
          </cell>
          <cell r="C774">
            <v>44986</v>
          </cell>
        </row>
        <row r="775">
          <cell r="B775">
            <v>44970</v>
          </cell>
          <cell r="C775">
            <v>44986</v>
          </cell>
        </row>
        <row r="776">
          <cell r="B776">
            <v>44971</v>
          </cell>
          <cell r="C776">
            <v>44986</v>
          </cell>
        </row>
        <row r="777">
          <cell r="B777">
            <v>44972</v>
          </cell>
          <cell r="C777">
            <v>44986</v>
          </cell>
        </row>
        <row r="778">
          <cell r="B778">
            <v>44973</v>
          </cell>
          <cell r="C778">
            <v>44986</v>
          </cell>
        </row>
        <row r="779">
          <cell r="B779">
            <v>44974</v>
          </cell>
          <cell r="C779">
            <v>44986</v>
          </cell>
        </row>
        <row r="780">
          <cell r="B780">
            <v>44975</v>
          </cell>
          <cell r="C780">
            <v>45017</v>
          </cell>
        </row>
        <row r="781">
          <cell r="B781">
            <v>44976</v>
          </cell>
          <cell r="C781">
            <v>45017</v>
          </cell>
        </row>
        <row r="782">
          <cell r="B782">
            <v>44977</v>
          </cell>
          <cell r="C782">
            <v>45017</v>
          </cell>
        </row>
        <row r="783">
          <cell r="B783">
            <v>44978</v>
          </cell>
          <cell r="C783">
            <v>45017</v>
          </cell>
        </row>
        <row r="784">
          <cell r="B784">
            <v>44979</v>
          </cell>
          <cell r="C784">
            <v>45017</v>
          </cell>
        </row>
        <row r="785">
          <cell r="B785">
            <v>44980</v>
          </cell>
          <cell r="C785">
            <v>45017</v>
          </cell>
        </row>
        <row r="786">
          <cell r="B786">
            <v>44981</v>
          </cell>
          <cell r="C786">
            <v>45017</v>
          </cell>
        </row>
        <row r="787">
          <cell r="B787">
            <v>44982</v>
          </cell>
          <cell r="C787">
            <v>45017</v>
          </cell>
        </row>
        <row r="788">
          <cell r="B788">
            <v>44983</v>
          </cell>
          <cell r="C788">
            <v>45017</v>
          </cell>
        </row>
        <row r="789">
          <cell r="B789">
            <v>44984</v>
          </cell>
          <cell r="C789">
            <v>45017</v>
          </cell>
        </row>
        <row r="790">
          <cell r="B790">
            <v>44985</v>
          </cell>
          <cell r="C790">
            <v>45017</v>
          </cell>
        </row>
        <row r="791">
          <cell r="B791">
            <v>44986</v>
          </cell>
          <cell r="C791">
            <v>45017</v>
          </cell>
        </row>
        <row r="792">
          <cell r="B792">
            <v>44987</v>
          </cell>
          <cell r="C792">
            <v>45017</v>
          </cell>
        </row>
        <row r="793">
          <cell r="B793">
            <v>44988</v>
          </cell>
          <cell r="C793">
            <v>45017</v>
          </cell>
        </row>
        <row r="794">
          <cell r="B794">
            <v>44989</v>
          </cell>
          <cell r="C794">
            <v>45017</v>
          </cell>
        </row>
        <row r="795">
          <cell r="B795">
            <v>44990</v>
          </cell>
          <cell r="C795">
            <v>45017</v>
          </cell>
        </row>
        <row r="796">
          <cell r="B796">
            <v>44991</v>
          </cell>
          <cell r="C796">
            <v>45017</v>
          </cell>
        </row>
        <row r="797">
          <cell r="B797">
            <v>44992</v>
          </cell>
          <cell r="C797">
            <v>45017</v>
          </cell>
        </row>
        <row r="798">
          <cell r="B798">
            <v>44993</v>
          </cell>
          <cell r="C798">
            <v>45017</v>
          </cell>
        </row>
        <row r="799">
          <cell r="B799">
            <v>44994</v>
          </cell>
          <cell r="C799">
            <v>45017</v>
          </cell>
        </row>
        <row r="800">
          <cell r="B800">
            <v>44995</v>
          </cell>
          <cell r="C800">
            <v>45017</v>
          </cell>
        </row>
        <row r="801">
          <cell r="B801">
            <v>44996</v>
          </cell>
          <cell r="C801">
            <v>45017</v>
          </cell>
        </row>
        <row r="802">
          <cell r="B802">
            <v>44997</v>
          </cell>
          <cell r="C802">
            <v>45017</v>
          </cell>
        </row>
        <row r="803">
          <cell r="B803">
            <v>44998</v>
          </cell>
          <cell r="C803">
            <v>45017</v>
          </cell>
        </row>
        <row r="804">
          <cell r="B804">
            <v>44999</v>
          </cell>
          <cell r="C804">
            <v>45017</v>
          </cell>
        </row>
        <row r="805">
          <cell r="B805">
            <v>45000</v>
          </cell>
          <cell r="C805">
            <v>45017</v>
          </cell>
        </row>
        <row r="806">
          <cell r="B806">
            <v>45001</v>
          </cell>
          <cell r="C806">
            <v>45017</v>
          </cell>
        </row>
        <row r="807">
          <cell r="B807">
            <v>45002</v>
          </cell>
          <cell r="C807">
            <v>45017</v>
          </cell>
        </row>
        <row r="808">
          <cell r="B808">
            <v>45003</v>
          </cell>
          <cell r="C808">
            <v>45047</v>
          </cell>
        </row>
        <row r="809">
          <cell r="B809">
            <v>45004</v>
          </cell>
          <cell r="C809">
            <v>45047</v>
          </cell>
        </row>
        <row r="810">
          <cell r="B810">
            <v>45005</v>
          </cell>
          <cell r="C810">
            <v>45047</v>
          </cell>
        </row>
        <row r="811">
          <cell r="B811">
            <v>45006</v>
          </cell>
          <cell r="C811">
            <v>45047</v>
          </cell>
        </row>
        <row r="812">
          <cell r="B812">
            <v>45007</v>
          </cell>
          <cell r="C812">
            <v>45047</v>
          </cell>
        </row>
        <row r="813">
          <cell r="B813">
            <v>45008</v>
          </cell>
          <cell r="C813">
            <v>45047</v>
          </cell>
        </row>
        <row r="814">
          <cell r="B814">
            <v>45009</v>
          </cell>
          <cell r="C814">
            <v>45047</v>
          </cell>
        </row>
        <row r="815">
          <cell r="B815">
            <v>45010</v>
          </cell>
          <cell r="C815">
            <v>45047</v>
          </cell>
        </row>
        <row r="816">
          <cell r="B816">
            <v>45011</v>
          </cell>
          <cell r="C816">
            <v>45047</v>
          </cell>
        </row>
        <row r="817">
          <cell r="B817">
            <v>45012</v>
          </cell>
          <cell r="C817">
            <v>45047</v>
          </cell>
        </row>
        <row r="818">
          <cell r="B818">
            <v>45013</v>
          </cell>
          <cell r="C818">
            <v>45047</v>
          </cell>
        </row>
        <row r="819">
          <cell r="B819">
            <v>45014</v>
          </cell>
          <cell r="C819">
            <v>45047</v>
          </cell>
        </row>
        <row r="820">
          <cell r="B820">
            <v>45015</v>
          </cell>
          <cell r="C820">
            <v>45047</v>
          </cell>
        </row>
        <row r="821">
          <cell r="B821">
            <v>45016</v>
          </cell>
          <cell r="C821">
            <v>45047</v>
          </cell>
        </row>
        <row r="822">
          <cell r="B822">
            <v>45017</v>
          </cell>
          <cell r="C822">
            <v>45047</v>
          </cell>
        </row>
        <row r="823">
          <cell r="B823">
            <v>45018</v>
          </cell>
          <cell r="C823">
            <v>45047</v>
          </cell>
        </row>
        <row r="824">
          <cell r="B824">
            <v>45019</v>
          </cell>
          <cell r="C824">
            <v>45047</v>
          </cell>
        </row>
        <row r="825">
          <cell r="B825">
            <v>45020</v>
          </cell>
          <cell r="C825">
            <v>45047</v>
          </cell>
        </row>
        <row r="826">
          <cell r="B826">
            <v>45021</v>
          </cell>
          <cell r="C826">
            <v>45047</v>
          </cell>
        </row>
        <row r="827">
          <cell r="B827">
            <v>45022</v>
          </cell>
          <cell r="C827">
            <v>45047</v>
          </cell>
        </row>
        <row r="828">
          <cell r="B828">
            <v>45023</v>
          </cell>
          <cell r="C828">
            <v>45047</v>
          </cell>
        </row>
        <row r="829">
          <cell r="B829">
            <v>45024</v>
          </cell>
          <cell r="C829">
            <v>45047</v>
          </cell>
        </row>
        <row r="830">
          <cell r="B830">
            <v>45025</v>
          </cell>
          <cell r="C830">
            <v>45047</v>
          </cell>
        </row>
        <row r="831">
          <cell r="B831">
            <v>45026</v>
          </cell>
          <cell r="C831">
            <v>45047</v>
          </cell>
        </row>
        <row r="832">
          <cell r="B832">
            <v>45027</v>
          </cell>
          <cell r="C832">
            <v>45047</v>
          </cell>
        </row>
        <row r="833">
          <cell r="B833">
            <v>45028</v>
          </cell>
          <cell r="C833">
            <v>45047</v>
          </cell>
        </row>
        <row r="834">
          <cell r="B834">
            <v>45029</v>
          </cell>
          <cell r="C834">
            <v>45047</v>
          </cell>
        </row>
        <row r="835">
          <cell r="B835">
            <v>45030</v>
          </cell>
          <cell r="C835">
            <v>45047</v>
          </cell>
        </row>
        <row r="836">
          <cell r="B836">
            <v>45031</v>
          </cell>
          <cell r="C836">
            <v>45047</v>
          </cell>
        </row>
        <row r="837">
          <cell r="B837">
            <v>45032</v>
          </cell>
          <cell r="C837">
            <v>45047</v>
          </cell>
        </row>
        <row r="838">
          <cell r="B838">
            <v>45033</v>
          </cell>
          <cell r="C838">
            <v>45047</v>
          </cell>
        </row>
        <row r="839">
          <cell r="B839">
            <v>45034</v>
          </cell>
          <cell r="C839">
            <v>45078</v>
          </cell>
        </row>
        <row r="840">
          <cell r="B840">
            <v>45035</v>
          </cell>
          <cell r="C840">
            <v>45078</v>
          </cell>
        </row>
        <row r="841">
          <cell r="B841">
            <v>45036</v>
          </cell>
          <cell r="C841">
            <v>45078</v>
          </cell>
        </row>
        <row r="842">
          <cell r="B842">
            <v>45037</v>
          </cell>
          <cell r="C842">
            <v>45078</v>
          </cell>
        </row>
        <row r="843">
          <cell r="B843">
            <v>45038</v>
          </cell>
          <cell r="C843">
            <v>45078</v>
          </cell>
        </row>
        <row r="844">
          <cell r="B844">
            <v>45039</v>
          </cell>
          <cell r="C844">
            <v>45078</v>
          </cell>
        </row>
        <row r="845">
          <cell r="B845">
            <v>45040</v>
          </cell>
          <cell r="C845">
            <v>45078</v>
          </cell>
        </row>
        <row r="846">
          <cell r="B846">
            <v>45041</v>
          </cell>
          <cell r="C846">
            <v>45078</v>
          </cell>
        </row>
        <row r="847">
          <cell r="B847">
            <v>45042</v>
          </cell>
          <cell r="C847">
            <v>45078</v>
          </cell>
        </row>
        <row r="848">
          <cell r="B848">
            <v>45043</v>
          </cell>
          <cell r="C848">
            <v>45078</v>
          </cell>
        </row>
        <row r="849">
          <cell r="B849">
            <v>45044</v>
          </cell>
          <cell r="C849">
            <v>45078</v>
          </cell>
        </row>
        <row r="850">
          <cell r="B850">
            <v>45045</v>
          </cell>
          <cell r="C850">
            <v>45078</v>
          </cell>
        </row>
        <row r="851">
          <cell r="B851">
            <v>45046</v>
          </cell>
          <cell r="C851">
            <v>45078</v>
          </cell>
        </row>
        <row r="852">
          <cell r="B852">
            <v>45047</v>
          </cell>
          <cell r="C852">
            <v>45078</v>
          </cell>
        </row>
        <row r="853">
          <cell r="B853">
            <v>45048</v>
          </cell>
          <cell r="C853">
            <v>45078</v>
          </cell>
        </row>
        <row r="854">
          <cell r="B854">
            <v>45049</v>
          </cell>
          <cell r="C854">
            <v>45078</v>
          </cell>
        </row>
        <row r="855">
          <cell r="B855">
            <v>45050</v>
          </cell>
          <cell r="C855">
            <v>45078</v>
          </cell>
        </row>
        <row r="856">
          <cell r="B856">
            <v>45051</v>
          </cell>
          <cell r="C856">
            <v>45078</v>
          </cell>
        </row>
        <row r="857">
          <cell r="B857">
            <v>45052</v>
          </cell>
          <cell r="C857">
            <v>45078</v>
          </cell>
        </row>
        <row r="858">
          <cell r="B858">
            <v>45053</v>
          </cell>
          <cell r="C858">
            <v>45078</v>
          </cell>
        </row>
        <row r="859">
          <cell r="B859">
            <v>45054</v>
          </cell>
          <cell r="C859">
            <v>45078</v>
          </cell>
        </row>
        <row r="860">
          <cell r="B860">
            <v>45055</v>
          </cell>
          <cell r="C860">
            <v>45078</v>
          </cell>
        </row>
        <row r="861">
          <cell r="B861">
            <v>45056</v>
          </cell>
          <cell r="C861">
            <v>45078</v>
          </cell>
        </row>
        <row r="862">
          <cell r="B862">
            <v>45057</v>
          </cell>
          <cell r="C862">
            <v>45078</v>
          </cell>
        </row>
        <row r="863">
          <cell r="B863">
            <v>45058</v>
          </cell>
          <cell r="C863">
            <v>45078</v>
          </cell>
        </row>
        <row r="864">
          <cell r="B864">
            <v>45059</v>
          </cell>
          <cell r="C864">
            <v>45078</v>
          </cell>
        </row>
        <row r="865">
          <cell r="B865">
            <v>45060</v>
          </cell>
          <cell r="C865">
            <v>45078</v>
          </cell>
        </row>
        <row r="866">
          <cell r="B866">
            <v>45061</v>
          </cell>
          <cell r="C866">
            <v>45078</v>
          </cell>
        </row>
        <row r="867">
          <cell r="B867">
            <v>45062</v>
          </cell>
          <cell r="C867">
            <v>45078</v>
          </cell>
        </row>
        <row r="868">
          <cell r="B868">
            <v>45063</v>
          </cell>
          <cell r="C868">
            <v>45078</v>
          </cell>
        </row>
        <row r="869">
          <cell r="B869">
            <v>45064</v>
          </cell>
          <cell r="C869">
            <v>45108</v>
          </cell>
        </row>
        <row r="870">
          <cell r="B870">
            <v>45065</v>
          </cell>
          <cell r="C870">
            <v>45108</v>
          </cell>
        </row>
        <row r="871">
          <cell r="B871">
            <v>45066</v>
          </cell>
          <cell r="C871">
            <v>45108</v>
          </cell>
        </row>
        <row r="872">
          <cell r="B872">
            <v>45067</v>
          </cell>
          <cell r="C872">
            <v>45108</v>
          </cell>
        </row>
        <row r="873">
          <cell r="B873">
            <v>45068</v>
          </cell>
          <cell r="C873">
            <v>45108</v>
          </cell>
        </row>
        <row r="874">
          <cell r="B874">
            <v>45069</v>
          </cell>
          <cell r="C874">
            <v>45108</v>
          </cell>
        </row>
        <row r="875">
          <cell r="B875">
            <v>45070</v>
          </cell>
          <cell r="C875">
            <v>45108</v>
          </cell>
        </row>
        <row r="876">
          <cell r="B876">
            <v>45071</v>
          </cell>
          <cell r="C876">
            <v>45108</v>
          </cell>
        </row>
        <row r="877">
          <cell r="B877">
            <v>45072</v>
          </cell>
          <cell r="C877">
            <v>45108</v>
          </cell>
        </row>
        <row r="878">
          <cell r="B878">
            <v>45073</v>
          </cell>
          <cell r="C878">
            <v>45108</v>
          </cell>
        </row>
        <row r="879">
          <cell r="B879">
            <v>45074</v>
          </cell>
          <cell r="C879">
            <v>45108</v>
          </cell>
        </row>
        <row r="880">
          <cell r="B880">
            <v>45075</v>
          </cell>
          <cell r="C880">
            <v>45108</v>
          </cell>
        </row>
        <row r="881">
          <cell r="B881">
            <v>45076</v>
          </cell>
          <cell r="C881">
            <v>45108</v>
          </cell>
        </row>
        <row r="882">
          <cell r="B882">
            <v>45077</v>
          </cell>
          <cell r="C882">
            <v>45108</v>
          </cell>
        </row>
        <row r="883">
          <cell r="B883">
            <v>45078</v>
          </cell>
          <cell r="C883">
            <v>45108</v>
          </cell>
        </row>
        <row r="884">
          <cell r="B884">
            <v>45079</v>
          </cell>
          <cell r="C884">
            <v>45108</v>
          </cell>
        </row>
        <row r="885">
          <cell r="B885">
            <v>45080</v>
          </cell>
          <cell r="C885">
            <v>45108</v>
          </cell>
        </row>
        <row r="886">
          <cell r="B886">
            <v>45081</v>
          </cell>
          <cell r="C886">
            <v>45108</v>
          </cell>
        </row>
        <row r="887">
          <cell r="B887">
            <v>45082</v>
          </cell>
          <cell r="C887">
            <v>45108</v>
          </cell>
        </row>
        <row r="888">
          <cell r="B888">
            <v>45083</v>
          </cell>
          <cell r="C888">
            <v>45108</v>
          </cell>
        </row>
        <row r="889">
          <cell r="B889">
            <v>45084</v>
          </cell>
          <cell r="C889">
            <v>45108</v>
          </cell>
        </row>
        <row r="890">
          <cell r="B890">
            <v>45085</v>
          </cell>
          <cell r="C890">
            <v>45108</v>
          </cell>
        </row>
        <row r="891">
          <cell r="B891">
            <v>45086</v>
          </cell>
          <cell r="C891">
            <v>45108</v>
          </cell>
        </row>
        <row r="892">
          <cell r="B892">
            <v>45087</v>
          </cell>
          <cell r="C892">
            <v>45108</v>
          </cell>
        </row>
        <row r="893">
          <cell r="B893">
            <v>45088</v>
          </cell>
          <cell r="C893">
            <v>45108</v>
          </cell>
        </row>
        <row r="894">
          <cell r="B894">
            <v>45089</v>
          </cell>
          <cell r="C894">
            <v>45108</v>
          </cell>
        </row>
        <row r="895">
          <cell r="B895">
            <v>45090</v>
          </cell>
          <cell r="C895">
            <v>45108</v>
          </cell>
        </row>
        <row r="896">
          <cell r="B896">
            <v>45091</v>
          </cell>
          <cell r="C896">
            <v>45108</v>
          </cell>
        </row>
        <row r="897">
          <cell r="B897">
            <v>45092</v>
          </cell>
          <cell r="C897">
            <v>45108</v>
          </cell>
        </row>
        <row r="898">
          <cell r="B898">
            <v>45093</v>
          </cell>
          <cell r="C898">
            <v>45108</v>
          </cell>
        </row>
        <row r="899">
          <cell r="B899">
            <v>45094</v>
          </cell>
          <cell r="C899">
            <v>45108</v>
          </cell>
        </row>
        <row r="900">
          <cell r="B900">
            <v>45095</v>
          </cell>
          <cell r="C900">
            <v>45139</v>
          </cell>
        </row>
        <row r="901">
          <cell r="B901">
            <v>45096</v>
          </cell>
          <cell r="C901">
            <v>45139</v>
          </cell>
        </row>
        <row r="902">
          <cell r="B902">
            <v>45097</v>
          </cell>
          <cell r="C902">
            <v>45139</v>
          </cell>
        </row>
        <row r="903">
          <cell r="B903">
            <v>45098</v>
          </cell>
          <cell r="C903">
            <v>45139</v>
          </cell>
        </row>
        <row r="904">
          <cell r="B904">
            <v>45099</v>
          </cell>
          <cell r="C904">
            <v>45139</v>
          </cell>
        </row>
        <row r="905">
          <cell r="B905">
            <v>45100</v>
          </cell>
          <cell r="C905">
            <v>45139</v>
          </cell>
        </row>
        <row r="906">
          <cell r="B906">
            <v>45101</v>
          </cell>
          <cell r="C906">
            <v>45139</v>
          </cell>
        </row>
        <row r="907">
          <cell r="B907">
            <v>45102</v>
          </cell>
          <cell r="C907">
            <v>45139</v>
          </cell>
        </row>
        <row r="908">
          <cell r="B908">
            <v>45103</v>
          </cell>
          <cell r="C908">
            <v>45139</v>
          </cell>
        </row>
        <row r="909">
          <cell r="B909">
            <v>45104</v>
          </cell>
          <cell r="C909">
            <v>45139</v>
          </cell>
        </row>
        <row r="910">
          <cell r="B910">
            <v>45105</v>
          </cell>
          <cell r="C910">
            <v>45139</v>
          </cell>
        </row>
        <row r="911">
          <cell r="B911">
            <v>45106</v>
          </cell>
          <cell r="C911">
            <v>45139</v>
          </cell>
        </row>
        <row r="912">
          <cell r="B912">
            <v>45107</v>
          </cell>
          <cell r="C912">
            <v>45139</v>
          </cell>
        </row>
        <row r="913">
          <cell r="B913">
            <v>45108</v>
          </cell>
          <cell r="C913">
            <v>45139</v>
          </cell>
        </row>
        <row r="914">
          <cell r="B914">
            <v>45109</v>
          </cell>
          <cell r="C914">
            <v>45139</v>
          </cell>
        </row>
        <row r="915">
          <cell r="B915">
            <v>45110</v>
          </cell>
          <cell r="C915">
            <v>45139</v>
          </cell>
        </row>
        <row r="916">
          <cell r="B916">
            <v>45111</v>
          </cell>
          <cell r="C916">
            <v>45139</v>
          </cell>
        </row>
        <row r="917">
          <cell r="B917">
            <v>45112</v>
          </cell>
          <cell r="C917">
            <v>45139</v>
          </cell>
        </row>
        <row r="918">
          <cell r="B918">
            <v>45113</v>
          </cell>
          <cell r="C918">
            <v>45139</v>
          </cell>
        </row>
        <row r="919">
          <cell r="B919">
            <v>45114</v>
          </cell>
          <cell r="C919">
            <v>45139</v>
          </cell>
        </row>
        <row r="920">
          <cell r="B920">
            <v>45115</v>
          </cell>
          <cell r="C920">
            <v>45139</v>
          </cell>
        </row>
        <row r="921">
          <cell r="B921">
            <v>45116</v>
          </cell>
          <cell r="C921">
            <v>45139</v>
          </cell>
        </row>
        <row r="922">
          <cell r="B922">
            <v>45117</v>
          </cell>
          <cell r="C922">
            <v>45139</v>
          </cell>
        </row>
        <row r="923">
          <cell r="B923">
            <v>45118</v>
          </cell>
          <cell r="C923">
            <v>45139</v>
          </cell>
        </row>
        <row r="924">
          <cell r="B924">
            <v>45119</v>
          </cell>
          <cell r="C924">
            <v>45139</v>
          </cell>
        </row>
        <row r="925">
          <cell r="B925">
            <v>45120</v>
          </cell>
          <cell r="C925">
            <v>45139</v>
          </cell>
        </row>
        <row r="926">
          <cell r="B926">
            <v>45121</v>
          </cell>
          <cell r="C926">
            <v>45139</v>
          </cell>
        </row>
        <row r="927">
          <cell r="B927">
            <v>45122</v>
          </cell>
          <cell r="C927">
            <v>45139</v>
          </cell>
        </row>
        <row r="928">
          <cell r="B928">
            <v>45123</v>
          </cell>
          <cell r="C928">
            <v>45139</v>
          </cell>
        </row>
        <row r="929">
          <cell r="B929">
            <v>45124</v>
          </cell>
          <cell r="C929">
            <v>45139</v>
          </cell>
        </row>
        <row r="930">
          <cell r="B930">
            <v>45125</v>
          </cell>
          <cell r="C930">
            <v>45170</v>
          </cell>
        </row>
        <row r="931">
          <cell r="B931">
            <v>45126</v>
          </cell>
          <cell r="C931">
            <v>45170</v>
          </cell>
        </row>
        <row r="932">
          <cell r="B932">
            <v>45127</v>
          </cell>
          <cell r="C932">
            <v>45170</v>
          </cell>
        </row>
        <row r="933">
          <cell r="B933">
            <v>45128</v>
          </cell>
          <cell r="C933">
            <v>45170</v>
          </cell>
        </row>
        <row r="934">
          <cell r="B934">
            <v>45129</v>
          </cell>
          <cell r="C934">
            <v>45170</v>
          </cell>
        </row>
        <row r="935">
          <cell r="B935">
            <v>45130</v>
          </cell>
          <cell r="C935">
            <v>45170</v>
          </cell>
        </row>
        <row r="936">
          <cell r="B936">
            <v>45131</v>
          </cell>
          <cell r="C936">
            <v>45170</v>
          </cell>
        </row>
        <row r="937">
          <cell r="B937">
            <v>45132</v>
          </cell>
          <cell r="C937">
            <v>45170</v>
          </cell>
        </row>
        <row r="938">
          <cell r="B938">
            <v>45133</v>
          </cell>
          <cell r="C938">
            <v>45170</v>
          </cell>
        </row>
        <row r="939">
          <cell r="B939">
            <v>45134</v>
          </cell>
          <cell r="C939">
            <v>45170</v>
          </cell>
        </row>
        <row r="940">
          <cell r="B940">
            <v>45135</v>
          </cell>
          <cell r="C940">
            <v>45170</v>
          </cell>
        </row>
        <row r="941">
          <cell r="B941">
            <v>45136</v>
          </cell>
          <cell r="C941">
            <v>45170</v>
          </cell>
        </row>
        <row r="942">
          <cell r="B942">
            <v>45137</v>
          </cell>
          <cell r="C942">
            <v>45170</v>
          </cell>
        </row>
        <row r="943">
          <cell r="B943">
            <v>45138</v>
          </cell>
          <cell r="C943">
            <v>45170</v>
          </cell>
        </row>
        <row r="944">
          <cell r="B944">
            <v>45139</v>
          </cell>
          <cell r="C944">
            <v>45170</v>
          </cell>
        </row>
        <row r="945">
          <cell r="B945">
            <v>45140</v>
          </cell>
          <cell r="C945">
            <v>45170</v>
          </cell>
        </row>
        <row r="946">
          <cell r="B946">
            <v>45141</v>
          </cell>
          <cell r="C946">
            <v>45170</v>
          </cell>
        </row>
        <row r="947">
          <cell r="B947">
            <v>45142</v>
          </cell>
          <cell r="C947">
            <v>45170</v>
          </cell>
        </row>
        <row r="948">
          <cell r="B948">
            <v>45143</v>
          </cell>
          <cell r="C948">
            <v>45170</v>
          </cell>
        </row>
        <row r="949">
          <cell r="B949">
            <v>45144</v>
          </cell>
          <cell r="C949">
            <v>45170</v>
          </cell>
        </row>
        <row r="950">
          <cell r="B950">
            <v>45145</v>
          </cell>
          <cell r="C950">
            <v>45170</v>
          </cell>
        </row>
        <row r="951">
          <cell r="B951">
            <v>45146</v>
          </cell>
          <cell r="C951">
            <v>45170</v>
          </cell>
        </row>
        <row r="952">
          <cell r="B952">
            <v>45147</v>
          </cell>
          <cell r="C952">
            <v>45170</v>
          </cell>
        </row>
        <row r="953">
          <cell r="B953">
            <v>45148</v>
          </cell>
          <cell r="C953">
            <v>45170</v>
          </cell>
        </row>
        <row r="954">
          <cell r="B954">
            <v>45149</v>
          </cell>
          <cell r="C954">
            <v>45170</v>
          </cell>
        </row>
        <row r="955">
          <cell r="B955">
            <v>45150</v>
          </cell>
          <cell r="C955">
            <v>45170</v>
          </cell>
        </row>
        <row r="956">
          <cell r="B956">
            <v>45151</v>
          </cell>
          <cell r="C956">
            <v>45170</v>
          </cell>
        </row>
        <row r="957">
          <cell r="B957">
            <v>45152</v>
          </cell>
          <cell r="C957">
            <v>45170</v>
          </cell>
        </row>
        <row r="958">
          <cell r="B958">
            <v>45153</v>
          </cell>
          <cell r="C958">
            <v>45170</v>
          </cell>
        </row>
        <row r="959">
          <cell r="B959">
            <v>45154</v>
          </cell>
          <cell r="C959">
            <v>45170</v>
          </cell>
        </row>
        <row r="960">
          <cell r="B960">
            <v>45155</v>
          </cell>
          <cell r="C960">
            <v>45170</v>
          </cell>
        </row>
        <row r="961">
          <cell r="B961">
            <v>45156</v>
          </cell>
          <cell r="C961">
            <v>45200</v>
          </cell>
        </row>
        <row r="962">
          <cell r="B962">
            <v>45157</v>
          </cell>
          <cell r="C962">
            <v>45200</v>
          </cell>
        </row>
        <row r="963">
          <cell r="B963">
            <v>45158</v>
          </cell>
          <cell r="C963">
            <v>45200</v>
          </cell>
        </row>
        <row r="964">
          <cell r="B964">
            <v>45159</v>
          </cell>
          <cell r="C964">
            <v>45200</v>
          </cell>
        </row>
        <row r="965">
          <cell r="B965">
            <v>45160</v>
          </cell>
          <cell r="C965">
            <v>45200</v>
          </cell>
        </row>
        <row r="966">
          <cell r="B966">
            <v>45161</v>
          </cell>
          <cell r="C966">
            <v>45200</v>
          </cell>
        </row>
        <row r="967">
          <cell r="B967">
            <v>45162</v>
          </cell>
          <cell r="C967">
            <v>45200</v>
          </cell>
        </row>
        <row r="968">
          <cell r="B968">
            <v>45163</v>
          </cell>
          <cell r="C968">
            <v>45200</v>
          </cell>
        </row>
        <row r="969">
          <cell r="B969">
            <v>45164</v>
          </cell>
          <cell r="C969">
            <v>45200</v>
          </cell>
        </row>
        <row r="970">
          <cell r="B970">
            <v>45165</v>
          </cell>
          <cell r="C970">
            <v>45200</v>
          </cell>
        </row>
        <row r="971">
          <cell r="B971">
            <v>45166</v>
          </cell>
          <cell r="C971">
            <v>45200</v>
          </cell>
        </row>
        <row r="972">
          <cell r="B972">
            <v>45167</v>
          </cell>
          <cell r="C972">
            <v>45200</v>
          </cell>
        </row>
        <row r="973">
          <cell r="B973">
            <v>45168</v>
          </cell>
          <cell r="C973">
            <v>45200</v>
          </cell>
        </row>
        <row r="974">
          <cell r="B974">
            <v>45169</v>
          </cell>
          <cell r="C974">
            <v>45200</v>
          </cell>
        </row>
        <row r="975">
          <cell r="B975">
            <v>45170</v>
          </cell>
          <cell r="C975">
            <v>45200</v>
          </cell>
        </row>
        <row r="976">
          <cell r="B976">
            <v>45171</v>
          </cell>
          <cell r="C976">
            <v>45200</v>
          </cell>
        </row>
        <row r="977">
          <cell r="B977">
            <v>45172</v>
          </cell>
          <cell r="C977">
            <v>45200</v>
          </cell>
        </row>
        <row r="978">
          <cell r="B978">
            <v>45173</v>
          </cell>
          <cell r="C978">
            <v>45200</v>
          </cell>
        </row>
        <row r="979">
          <cell r="B979">
            <v>45174</v>
          </cell>
          <cell r="C979">
            <v>45200</v>
          </cell>
        </row>
        <row r="980">
          <cell r="B980">
            <v>45175</v>
          </cell>
          <cell r="C980">
            <v>45200</v>
          </cell>
        </row>
        <row r="981">
          <cell r="B981">
            <v>45176</v>
          </cell>
          <cell r="C981">
            <v>45200</v>
          </cell>
        </row>
        <row r="982">
          <cell r="B982">
            <v>45177</v>
          </cell>
          <cell r="C982">
            <v>45200</v>
          </cell>
        </row>
        <row r="983">
          <cell r="B983">
            <v>45178</v>
          </cell>
          <cell r="C983">
            <v>45200</v>
          </cell>
        </row>
        <row r="984">
          <cell r="B984">
            <v>45179</v>
          </cell>
          <cell r="C984">
            <v>45200</v>
          </cell>
        </row>
        <row r="985">
          <cell r="B985">
            <v>45180</v>
          </cell>
          <cell r="C985">
            <v>45200</v>
          </cell>
        </row>
        <row r="986">
          <cell r="B986">
            <v>45181</v>
          </cell>
          <cell r="C986">
            <v>45200</v>
          </cell>
        </row>
        <row r="987">
          <cell r="B987">
            <v>45182</v>
          </cell>
          <cell r="C987">
            <v>45200</v>
          </cell>
        </row>
        <row r="988">
          <cell r="B988">
            <v>45183</v>
          </cell>
          <cell r="C988">
            <v>45200</v>
          </cell>
        </row>
        <row r="989">
          <cell r="B989">
            <v>45184</v>
          </cell>
          <cell r="C989">
            <v>45200</v>
          </cell>
        </row>
        <row r="990">
          <cell r="B990">
            <v>45185</v>
          </cell>
          <cell r="C990">
            <v>45200</v>
          </cell>
        </row>
        <row r="991">
          <cell r="B991">
            <v>45186</v>
          </cell>
          <cell r="C991">
            <v>45200</v>
          </cell>
        </row>
        <row r="992">
          <cell r="B992">
            <v>45187</v>
          </cell>
          <cell r="C992">
            <v>45231</v>
          </cell>
        </row>
        <row r="993">
          <cell r="B993">
            <v>45188</v>
          </cell>
          <cell r="C993">
            <v>45231</v>
          </cell>
        </row>
        <row r="994">
          <cell r="B994">
            <v>45189</v>
          </cell>
          <cell r="C994">
            <v>45231</v>
          </cell>
        </row>
        <row r="995">
          <cell r="B995">
            <v>45190</v>
          </cell>
          <cell r="C995">
            <v>45231</v>
          </cell>
        </row>
        <row r="996">
          <cell r="B996">
            <v>45191</v>
          </cell>
          <cell r="C996">
            <v>45231</v>
          </cell>
        </row>
        <row r="997">
          <cell r="B997">
            <v>45192</v>
          </cell>
          <cell r="C997">
            <v>45231</v>
          </cell>
        </row>
        <row r="998">
          <cell r="B998">
            <v>45193</v>
          </cell>
          <cell r="C998">
            <v>45231</v>
          </cell>
        </row>
        <row r="999">
          <cell r="B999">
            <v>45194</v>
          </cell>
          <cell r="C999">
            <v>45231</v>
          </cell>
        </row>
        <row r="1000">
          <cell r="B1000">
            <v>45195</v>
          </cell>
          <cell r="C1000">
            <v>45231</v>
          </cell>
        </row>
        <row r="1001">
          <cell r="B1001">
            <v>45196</v>
          </cell>
          <cell r="C1001">
            <v>45231</v>
          </cell>
        </row>
        <row r="1002">
          <cell r="B1002">
            <v>45197</v>
          </cell>
          <cell r="C1002">
            <v>45231</v>
          </cell>
        </row>
        <row r="1003">
          <cell r="B1003">
            <v>45198</v>
          </cell>
          <cell r="C1003">
            <v>45231</v>
          </cell>
        </row>
        <row r="1004">
          <cell r="B1004">
            <v>45199</v>
          </cell>
          <cell r="C1004">
            <v>45231</v>
          </cell>
        </row>
        <row r="1005">
          <cell r="B1005">
            <v>45200</v>
          </cell>
          <cell r="C1005">
            <v>45231</v>
          </cell>
        </row>
        <row r="1006">
          <cell r="B1006">
            <v>45201</v>
          </cell>
          <cell r="C1006">
            <v>45231</v>
          </cell>
        </row>
        <row r="1007">
          <cell r="B1007">
            <v>45202</v>
          </cell>
          <cell r="C1007">
            <v>45231</v>
          </cell>
        </row>
        <row r="1008">
          <cell r="B1008">
            <v>45203</v>
          </cell>
          <cell r="C1008">
            <v>45231</v>
          </cell>
        </row>
        <row r="1009">
          <cell r="B1009">
            <v>45204</v>
          </cell>
          <cell r="C1009">
            <v>45231</v>
          </cell>
        </row>
        <row r="1010">
          <cell r="B1010">
            <v>45205</v>
          </cell>
          <cell r="C1010">
            <v>45231</v>
          </cell>
        </row>
        <row r="1011">
          <cell r="B1011">
            <v>45206</v>
          </cell>
          <cell r="C1011">
            <v>45231</v>
          </cell>
        </row>
        <row r="1012">
          <cell r="B1012">
            <v>45207</v>
          </cell>
          <cell r="C1012">
            <v>45231</v>
          </cell>
        </row>
        <row r="1013">
          <cell r="B1013">
            <v>45208</v>
          </cell>
          <cell r="C1013">
            <v>45231</v>
          </cell>
        </row>
        <row r="1014">
          <cell r="B1014">
            <v>45209</v>
          </cell>
          <cell r="C1014">
            <v>45231</v>
          </cell>
        </row>
        <row r="1015">
          <cell r="B1015">
            <v>45210</v>
          </cell>
          <cell r="C1015">
            <v>45231</v>
          </cell>
        </row>
        <row r="1016">
          <cell r="B1016">
            <v>45211</v>
          </cell>
          <cell r="C1016">
            <v>45231</v>
          </cell>
        </row>
        <row r="1017">
          <cell r="B1017">
            <v>45212</v>
          </cell>
          <cell r="C1017">
            <v>45231</v>
          </cell>
        </row>
        <row r="1018">
          <cell r="B1018">
            <v>45213</v>
          </cell>
          <cell r="C1018">
            <v>45231</v>
          </cell>
        </row>
        <row r="1019">
          <cell r="B1019">
            <v>45214</v>
          </cell>
          <cell r="C1019">
            <v>45231</v>
          </cell>
        </row>
        <row r="1020">
          <cell r="B1020">
            <v>45215</v>
          </cell>
          <cell r="C1020">
            <v>45231</v>
          </cell>
        </row>
        <row r="1021">
          <cell r="B1021">
            <v>45216</v>
          </cell>
          <cell r="C1021">
            <v>45231</v>
          </cell>
        </row>
        <row r="1022">
          <cell r="B1022">
            <v>45217</v>
          </cell>
          <cell r="C1022">
            <v>45261</v>
          </cell>
        </row>
        <row r="1023">
          <cell r="B1023">
            <v>45218</v>
          </cell>
          <cell r="C1023">
            <v>45261</v>
          </cell>
        </row>
        <row r="1024">
          <cell r="B1024">
            <v>45219</v>
          </cell>
          <cell r="C1024">
            <v>45261</v>
          </cell>
        </row>
        <row r="1025">
          <cell r="B1025">
            <v>45220</v>
          </cell>
          <cell r="C1025">
            <v>45261</v>
          </cell>
        </row>
        <row r="1026">
          <cell r="B1026">
            <v>45221</v>
          </cell>
          <cell r="C1026">
            <v>45261</v>
          </cell>
        </row>
        <row r="1027">
          <cell r="B1027">
            <v>45222</v>
          </cell>
          <cell r="C1027">
            <v>45261</v>
          </cell>
        </row>
        <row r="1028">
          <cell r="B1028">
            <v>45223</v>
          </cell>
          <cell r="C1028">
            <v>45261</v>
          </cell>
        </row>
        <row r="1029">
          <cell r="B1029">
            <v>45224</v>
          </cell>
          <cell r="C1029">
            <v>45261</v>
          </cell>
        </row>
        <row r="1030">
          <cell r="B1030">
            <v>45225</v>
          </cell>
          <cell r="C1030">
            <v>45261</v>
          </cell>
        </row>
        <row r="1031">
          <cell r="B1031">
            <v>45226</v>
          </cell>
          <cell r="C1031">
            <v>45261</v>
          </cell>
        </row>
        <row r="1032">
          <cell r="B1032">
            <v>45227</v>
          </cell>
          <cell r="C1032">
            <v>45261</v>
          </cell>
        </row>
        <row r="1033">
          <cell r="B1033">
            <v>45228</v>
          </cell>
          <cell r="C1033">
            <v>45261</v>
          </cell>
        </row>
        <row r="1034">
          <cell r="B1034">
            <v>45229</v>
          </cell>
          <cell r="C1034">
            <v>45261</v>
          </cell>
        </row>
        <row r="1035">
          <cell r="B1035">
            <v>45230</v>
          </cell>
          <cell r="C1035">
            <v>45261</v>
          </cell>
        </row>
        <row r="1036">
          <cell r="B1036">
            <v>45231</v>
          </cell>
          <cell r="C1036">
            <v>45261</v>
          </cell>
        </row>
        <row r="1037">
          <cell r="B1037">
            <v>45232</v>
          </cell>
          <cell r="C1037">
            <v>45261</v>
          </cell>
        </row>
        <row r="1038">
          <cell r="B1038">
            <v>45233</v>
          </cell>
          <cell r="C1038">
            <v>45261</v>
          </cell>
        </row>
        <row r="1039">
          <cell r="B1039">
            <v>45234</v>
          </cell>
          <cell r="C1039">
            <v>45261</v>
          </cell>
        </row>
        <row r="1040">
          <cell r="B1040">
            <v>45235</v>
          </cell>
          <cell r="C1040">
            <v>45261</v>
          </cell>
        </row>
        <row r="1041">
          <cell r="B1041">
            <v>45236</v>
          </cell>
          <cell r="C1041">
            <v>45261</v>
          </cell>
        </row>
        <row r="1042">
          <cell r="B1042">
            <v>45237</v>
          </cell>
          <cell r="C1042">
            <v>45261</v>
          </cell>
        </row>
        <row r="1043">
          <cell r="B1043">
            <v>45238</v>
          </cell>
          <cell r="C1043">
            <v>45261</v>
          </cell>
        </row>
        <row r="1044">
          <cell r="B1044">
            <v>45239</v>
          </cell>
          <cell r="C1044">
            <v>45261</v>
          </cell>
        </row>
        <row r="1045">
          <cell r="B1045">
            <v>45240</v>
          </cell>
          <cell r="C1045">
            <v>45261</v>
          </cell>
        </row>
        <row r="1046">
          <cell r="B1046">
            <v>45241</v>
          </cell>
          <cell r="C1046">
            <v>45261</v>
          </cell>
        </row>
        <row r="1047">
          <cell r="B1047">
            <v>45242</v>
          </cell>
          <cell r="C1047">
            <v>45261</v>
          </cell>
        </row>
        <row r="1048">
          <cell r="B1048">
            <v>45243</v>
          </cell>
          <cell r="C1048">
            <v>45261</v>
          </cell>
        </row>
        <row r="1049">
          <cell r="B1049">
            <v>45244</v>
          </cell>
          <cell r="C1049">
            <v>45261</v>
          </cell>
        </row>
        <row r="1050">
          <cell r="B1050">
            <v>45245</v>
          </cell>
          <cell r="C1050">
            <v>45261</v>
          </cell>
        </row>
        <row r="1051">
          <cell r="B1051">
            <v>45246</v>
          </cell>
          <cell r="C1051">
            <v>45261</v>
          </cell>
        </row>
        <row r="1052">
          <cell r="B1052">
            <v>45247</v>
          </cell>
          <cell r="C1052">
            <v>45261</v>
          </cell>
        </row>
        <row r="1053">
          <cell r="B1053">
            <v>45248</v>
          </cell>
          <cell r="C1053">
            <v>45292</v>
          </cell>
        </row>
        <row r="1054">
          <cell r="B1054">
            <v>45249</v>
          </cell>
          <cell r="C1054">
            <v>45292</v>
          </cell>
        </row>
        <row r="1055">
          <cell r="B1055">
            <v>45250</v>
          </cell>
          <cell r="C1055">
            <v>45292</v>
          </cell>
        </row>
        <row r="1056">
          <cell r="B1056">
            <v>45251</v>
          </cell>
          <cell r="C1056">
            <v>45292</v>
          </cell>
        </row>
        <row r="1057">
          <cell r="B1057">
            <v>45252</v>
          </cell>
          <cell r="C1057">
            <v>45292</v>
          </cell>
        </row>
        <row r="1058">
          <cell r="B1058">
            <v>45253</v>
          </cell>
          <cell r="C1058">
            <v>45292</v>
          </cell>
        </row>
        <row r="1059">
          <cell r="B1059">
            <v>45254</v>
          </cell>
          <cell r="C1059">
            <v>45292</v>
          </cell>
        </row>
        <row r="1060">
          <cell r="B1060">
            <v>45255</v>
          </cell>
          <cell r="C1060">
            <v>45292</v>
          </cell>
        </row>
        <row r="1061">
          <cell r="B1061">
            <v>45256</v>
          </cell>
          <cell r="C1061">
            <v>45292</v>
          </cell>
        </row>
        <row r="1062">
          <cell r="B1062">
            <v>45257</v>
          </cell>
          <cell r="C1062">
            <v>45292</v>
          </cell>
        </row>
        <row r="1063">
          <cell r="B1063">
            <v>45258</v>
          </cell>
          <cell r="C1063">
            <v>45292</v>
          </cell>
        </row>
        <row r="1064">
          <cell r="B1064">
            <v>45259</v>
          </cell>
          <cell r="C1064">
            <v>45292</v>
          </cell>
        </row>
        <row r="1065">
          <cell r="B1065">
            <v>45260</v>
          </cell>
          <cell r="C1065">
            <v>45292</v>
          </cell>
        </row>
        <row r="1066">
          <cell r="B1066">
            <v>45261</v>
          </cell>
          <cell r="C1066">
            <v>45292</v>
          </cell>
        </row>
        <row r="1067">
          <cell r="B1067">
            <v>45262</v>
          </cell>
          <cell r="C1067">
            <v>45292</v>
          </cell>
        </row>
        <row r="1068">
          <cell r="B1068">
            <v>45263</v>
          </cell>
          <cell r="C1068">
            <v>45292</v>
          </cell>
        </row>
        <row r="1069">
          <cell r="B1069">
            <v>45264</v>
          </cell>
          <cell r="C1069">
            <v>45292</v>
          </cell>
        </row>
        <row r="1070">
          <cell r="B1070">
            <v>45265</v>
          </cell>
          <cell r="C1070">
            <v>45292</v>
          </cell>
        </row>
        <row r="1071">
          <cell r="B1071">
            <v>45266</v>
          </cell>
          <cell r="C1071">
            <v>45292</v>
          </cell>
        </row>
        <row r="1072">
          <cell r="B1072">
            <v>45267</v>
          </cell>
          <cell r="C1072">
            <v>45292</v>
          </cell>
        </row>
        <row r="1073">
          <cell r="B1073">
            <v>45268</v>
          </cell>
          <cell r="C1073">
            <v>45292</v>
          </cell>
        </row>
        <row r="1074">
          <cell r="B1074">
            <v>45269</v>
          </cell>
          <cell r="C1074">
            <v>45292</v>
          </cell>
        </row>
        <row r="1075">
          <cell r="B1075">
            <v>45270</v>
          </cell>
          <cell r="C1075">
            <v>45292</v>
          </cell>
        </row>
        <row r="1076">
          <cell r="B1076">
            <v>45271</v>
          </cell>
          <cell r="C1076">
            <v>45292</v>
          </cell>
        </row>
        <row r="1077">
          <cell r="B1077">
            <v>45272</v>
          </cell>
          <cell r="C1077">
            <v>45292</v>
          </cell>
        </row>
        <row r="1078">
          <cell r="B1078">
            <v>45273</v>
          </cell>
          <cell r="C1078">
            <v>45292</v>
          </cell>
        </row>
        <row r="1079">
          <cell r="B1079">
            <v>45274</v>
          </cell>
          <cell r="C1079">
            <v>45292</v>
          </cell>
        </row>
        <row r="1080">
          <cell r="B1080">
            <v>45275</v>
          </cell>
          <cell r="C1080">
            <v>45292</v>
          </cell>
        </row>
        <row r="1081">
          <cell r="B1081">
            <v>45276</v>
          </cell>
          <cell r="C1081">
            <v>45292</v>
          </cell>
        </row>
        <row r="1082">
          <cell r="B1082">
            <v>45277</v>
          </cell>
          <cell r="C1082">
            <v>45292</v>
          </cell>
        </row>
        <row r="1083">
          <cell r="B1083">
            <v>45278</v>
          </cell>
          <cell r="C1083">
            <v>45323</v>
          </cell>
        </row>
        <row r="1084">
          <cell r="B1084">
            <v>45279</v>
          </cell>
          <cell r="C1084">
            <v>45323</v>
          </cell>
        </row>
        <row r="1085">
          <cell r="B1085">
            <v>45280</v>
          </cell>
          <cell r="C1085">
            <v>45323</v>
          </cell>
        </row>
        <row r="1086">
          <cell r="B1086">
            <v>45281</v>
          </cell>
          <cell r="C1086">
            <v>45323</v>
          </cell>
        </row>
        <row r="1087">
          <cell r="B1087">
            <v>45282</v>
          </cell>
          <cell r="C1087">
            <v>45323</v>
          </cell>
        </row>
        <row r="1088">
          <cell r="B1088">
            <v>45283</v>
          </cell>
          <cell r="C1088">
            <v>45323</v>
          </cell>
        </row>
        <row r="1089">
          <cell r="B1089">
            <v>45284</v>
          </cell>
          <cell r="C1089">
            <v>45323</v>
          </cell>
        </row>
        <row r="1090">
          <cell r="B1090">
            <v>45285</v>
          </cell>
          <cell r="C1090">
            <v>45323</v>
          </cell>
        </row>
        <row r="1091">
          <cell r="B1091">
            <v>45286</v>
          </cell>
          <cell r="C1091">
            <v>45323</v>
          </cell>
        </row>
        <row r="1092">
          <cell r="B1092">
            <v>45287</v>
          </cell>
          <cell r="C1092">
            <v>45323</v>
          </cell>
        </row>
        <row r="1093">
          <cell r="B1093">
            <v>45288</v>
          </cell>
          <cell r="C1093">
            <v>45323</v>
          </cell>
        </row>
        <row r="1094">
          <cell r="B1094">
            <v>45289</v>
          </cell>
          <cell r="C1094">
            <v>45323</v>
          </cell>
        </row>
        <row r="1095">
          <cell r="B1095">
            <v>45290</v>
          </cell>
          <cell r="C1095">
            <v>45323</v>
          </cell>
        </row>
        <row r="1096">
          <cell r="B1096">
            <v>45291</v>
          </cell>
          <cell r="C1096">
            <v>45323</v>
          </cell>
        </row>
        <row r="1097">
          <cell r="B1097">
            <v>45292</v>
          </cell>
          <cell r="C1097">
            <v>45323</v>
          </cell>
        </row>
        <row r="1098">
          <cell r="B1098">
            <v>45293</v>
          </cell>
          <cell r="C1098">
            <v>45323</v>
          </cell>
        </row>
        <row r="1099">
          <cell r="B1099">
            <v>45294</v>
          </cell>
          <cell r="C1099">
            <v>45323</v>
          </cell>
        </row>
        <row r="1100">
          <cell r="B1100">
            <v>45295</v>
          </cell>
          <cell r="C1100">
            <v>45323</v>
          </cell>
        </row>
        <row r="1101">
          <cell r="B1101">
            <v>45296</v>
          </cell>
          <cell r="C1101">
            <v>45323</v>
          </cell>
        </row>
        <row r="1102">
          <cell r="B1102">
            <v>45297</v>
          </cell>
          <cell r="C1102">
            <v>45323</v>
          </cell>
        </row>
        <row r="1103">
          <cell r="B1103">
            <v>45298</v>
          </cell>
          <cell r="C1103">
            <v>45323</v>
          </cell>
        </row>
        <row r="1104">
          <cell r="B1104">
            <v>45299</v>
          </cell>
          <cell r="C1104">
            <v>45323</v>
          </cell>
        </row>
        <row r="1105">
          <cell r="B1105">
            <v>45300</v>
          </cell>
          <cell r="C1105">
            <v>45323</v>
          </cell>
        </row>
        <row r="1106">
          <cell r="B1106">
            <v>45301</v>
          </cell>
          <cell r="C1106">
            <v>45323</v>
          </cell>
        </row>
        <row r="1107">
          <cell r="B1107">
            <v>45302</v>
          </cell>
          <cell r="C1107">
            <v>45323</v>
          </cell>
        </row>
        <row r="1108">
          <cell r="B1108">
            <v>45303</v>
          </cell>
          <cell r="C1108">
            <v>45323</v>
          </cell>
        </row>
        <row r="1109">
          <cell r="B1109">
            <v>45304</v>
          </cell>
          <cell r="C1109">
            <v>45323</v>
          </cell>
        </row>
        <row r="1110">
          <cell r="B1110">
            <v>45305</v>
          </cell>
          <cell r="C1110">
            <v>45323</v>
          </cell>
        </row>
        <row r="1111">
          <cell r="B1111">
            <v>45306</v>
          </cell>
          <cell r="C1111">
            <v>45323</v>
          </cell>
        </row>
        <row r="1112">
          <cell r="B1112">
            <v>45307</v>
          </cell>
          <cell r="C1112">
            <v>45323</v>
          </cell>
        </row>
        <row r="1113">
          <cell r="B1113">
            <v>45308</v>
          </cell>
          <cell r="C1113">
            <v>45323</v>
          </cell>
        </row>
        <row r="1114">
          <cell r="B1114">
            <v>45309</v>
          </cell>
          <cell r="C1114">
            <v>45352</v>
          </cell>
        </row>
        <row r="1115">
          <cell r="B1115">
            <v>45310</v>
          </cell>
          <cell r="C1115">
            <v>45352</v>
          </cell>
        </row>
        <row r="1116">
          <cell r="B1116">
            <v>45311</v>
          </cell>
          <cell r="C1116">
            <v>45352</v>
          </cell>
        </row>
        <row r="1117">
          <cell r="B1117">
            <v>45312</v>
          </cell>
          <cell r="C1117">
            <v>45352</v>
          </cell>
        </row>
        <row r="1118">
          <cell r="B1118">
            <v>45313</v>
          </cell>
          <cell r="C1118">
            <v>45352</v>
          </cell>
        </row>
        <row r="1119">
          <cell r="B1119">
            <v>45314</v>
          </cell>
          <cell r="C1119">
            <v>45352</v>
          </cell>
        </row>
        <row r="1120">
          <cell r="B1120">
            <v>45315</v>
          </cell>
          <cell r="C1120">
            <v>45352</v>
          </cell>
        </row>
        <row r="1121">
          <cell r="B1121">
            <v>45316</v>
          </cell>
          <cell r="C1121">
            <v>45352</v>
          </cell>
        </row>
        <row r="1122">
          <cell r="B1122">
            <v>45317</v>
          </cell>
          <cell r="C1122">
            <v>45352</v>
          </cell>
        </row>
        <row r="1123">
          <cell r="B1123">
            <v>45318</v>
          </cell>
          <cell r="C1123">
            <v>45352</v>
          </cell>
        </row>
        <row r="1124">
          <cell r="B1124">
            <v>45319</v>
          </cell>
          <cell r="C1124">
            <v>45352</v>
          </cell>
        </row>
        <row r="1125">
          <cell r="B1125">
            <v>45320</v>
          </cell>
          <cell r="C1125">
            <v>45352</v>
          </cell>
        </row>
        <row r="1126">
          <cell r="B1126">
            <v>45321</v>
          </cell>
          <cell r="C1126">
            <v>45352</v>
          </cell>
        </row>
        <row r="1127">
          <cell r="B1127">
            <v>45322</v>
          </cell>
          <cell r="C1127">
            <v>45352</v>
          </cell>
        </row>
        <row r="1128">
          <cell r="B1128">
            <v>45323</v>
          </cell>
          <cell r="C1128">
            <v>45352</v>
          </cell>
        </row>
        <row r="1129">
          <cell r="B1129">
            <v>45324</v>
          </cell>
          <cell r="C1129">
            <v>45352</v>
          </cell>
        </row>
        <row r="1130">
          <cell r="B1130">
            <v>45325</v>
          </cell>
          <cell r="C1130">
            <v>45352</v>
          </cell>
        </row>
        <row r="1131">
          <cell r="B1131">
            <v>45326</v>
          </cell>
          <cell r="C1131">
            <v>45352</v>
          </cell>
        </row>
        <row r="1132">
          <cell r="B1132">
            <v>45327</v>
          </cell>
          <cell r="C1132">
            <v>45352</v>
          </cell>
        </row>
        <row r="1133">
          <cell r="B1133">
            <v>45328</v>
          </cell>
          <cell r="C1133">
            <v>45352</v>
          </cell>
        </row>
        <row r="1134">
          <cell r="B1134">
            <v>45329</v>
          </cell>
          <cell r="C1134">
            <v>45352</v>
          </cell>
        </row>
        <row r="1135">
          <cell r="B1135">
            <v>45330</v>
          </cell>
          <cell r="C1135">
            <v>45352</v>
          </cell>
        </row>
        <row r="1136">
          <cell r="B1136">
            <v>45331</v>
          </cell>
          <cell r="C1136">
            <v>45352</v>
          </cell>
        </row>
        <row r="1137">
          <cell r="B1137">
            <v>45332</v>
          </cell>
          <cell r="C1137">
            <v>45352</v>
          </cell>
        </row>
        <row r="1138">
          <cell r="B1138">
            <v>45333</v>
          </cell>
          <cell r="C1138">
            <v>45352</v>
          </cell>
        </row>
        <row r="1139">
          <cell r="B1139">
            <v>45334</v>
          </cell>
          <cell r="C1139">
            <v>45352</v>
          </cell>
        </row>
        <row r="1140">
          <cell r="B1140">
            <v>45335</v>
          </cell>
          <cell r="C1140">
            <v>45352</v>
          </cell>
        </row>
        <row r="1141">
          <cell r="B1141">
            <v>45336</v>
          </cell>
          <cell r="C1141">
            <v>45352</v>
          </cell>
        </row>
        <row r="1142">
          <cell r="B1142">
            <v>45337</v>
          </cell>
          <cell r="C1142">
            <v>45352</v>
          </cell>
        </row>
        <row r="1143">
          <cell r="B1143">
            <v>45338</v>
          </cell>
          <cell r="C1143">
            <v>45352</v>
          </cell>
        </row>
        <row r="1144">
          <cell r="B1144">
            <v>45339</v>
          </cell>
          <cell r="C1144">
            <v>45352</v>
          </cell>
        </row>
        <row r="1145">
          <cell r="B1145">
            <v>45340</v>
          </cell>
          <cell r="C1145">
            <v>45383</v>
          </cell>
        </row>
        <row r="1146">
          <cell r="B1146">
            <v>45341</v>
          </cell>
          <cell r="C1146">
            <v>45383</v>
          </cell>
        </row>
        <row r="1147">
          <cell r="B1147">
            <v>45342</v>
          </cell>
          <cell r="C1147">
            <v>45383</v>
          </cell>
        </row>
        <row r="1148">
          <cell r="B1148">
            <v>45343</v>
          </cell>
          <cell r="C1148">
            <v>45383</v>
          </cell>
        </row>
        <row r="1149">
          <cell r="B1149">
            <v>45344</v>
          </cell>
          <cell r="C1149">
            <v>45383</v>
          </cell>
        </row>
        <row r="1150">
          <cell r="B1150">
            <v>45345</v>
          </cell>
          <cell r="C1150">
            <v>45383</v>
          </cell>
        </row>
        <row r="1151">
          <cell r="B1151">
            <v>45346</v>
          </cell>
          <cell r="C1151">
            <v>45383</v>
          </cell>
        </row>
        <row r="1152">
          <cell r="B1152">
            <v>45347</v>
          </cell>
          <cell r="C1152">
            <v>45383</v>
          </cell>
        </row>
        <row r="1153">
          <cell r="B1153">
            <v>45348</v>
          </cell>
          <cell r="C1153">
            <v>45383</v>
          </cell>
        </row>
        <row r="1154">
          <cell r="B1154">
            <v>45349</v>
          </cell>
          <cell r="C1154">
            <v>45383</v>
          </cell>
        </row>
        <row r="1155">
          <cell r="B1155">
            <v>45350</v>
          </cell>
          <cell r="C1155">
            <v>45383</v>
          </cell>
        </row>
        <row r="1156">
          <cell r="B1156">
            <v>45351</v>
          </cell>
          <cell r="C1156">
            <v>45383</v>
          </cell>
        </row>
        <row r="1157">
          <cell r="B1157">
            <v>45352</v>
          </cell>
          <cell r="C1157">
            <v>45383</v>
          </cell>
        </row>
        <row r="1158">
          <cell r="B1158">
            <v>45353</v>
          </cell>
          <cell r="C1158">
            <v>45383</v>
          </cell>
        </row>
        <row r="1159">
          <cell r="B1159">
            <v>45354</v>
          </cell>
          <cell r="C1159">
            <v>45383</v>
          </cell>
        </row>
        <row r="1160">
          <cell r="B1160">
            <v>45355</v>
          </cell>
          <cell r="C1160">
            <v>45383</v>
          </cell>
        </row>
        <row r="1161">
          <cell r="B1161">
            <v>45356</v>
          </cell>
          <cell r="C1161">
            <v>45383</v>
          </cell>
        </row>
        <row r="1162">
          <cell r="B1162">
            <v>45357</v>
          </cell>
          <cell r="C1162">
            <v>45383</v>
          </cell>
        </row>
        <row r="1163">
          <cell r="B1163">
            <v>45358</v>
          </cell>
          <cell r="C1163">
            <v>45383</v>
          </cell>
        </row>
        <row r="1164">
          <cell r="B1164">
            <v>45359</v>
          </cell>
          <cell r="C1164">
            <v>45383</v>
          </cell>
        </row>
        <row r="1165">
          <cell r="B1165">
            <v>45360</v>
          </cell>
          <cell r="C1165">
            <v>45383</v>
          </cell>
        </row>
        <row r="1166">
          <cell r="B1166">
            <v>45361</v>
          </cell>
          <cell r="C1166">
            <v>45383</v>
          </cell>
        </row>
        <row r="1167">
          <cell r="B1167">
            <v>45362</v>
          </cell>
          <cell r="C1167">
            <v>45383</v>
          </cell>
        </row>
        <row r="1168">
          <cell r="B1168">
            <v>45363</v>
          </cell>
          <cell r="C1168">
            <v>45383</v>
          </cell>
        </row>
        <row r="1169">
          <cell r="B1169">
            <v>45364</v>
          </cell>
          <cell r="C1169">
            <v>45383</v>
          </cell>
        </row>
        <row r="1170">
          <cell r="B1170">
            <v>45365</v>
          </cell>
          <cell r="C1170">
            <v>45383</v>
          </cell>
        </row>
        <row r="1171">
          <cell r="B1171">
            <v>45366</v>
          </cell>
          <cell r="C1171">
            <v>45383</v>
          </cell>
        </row>
        <row r="1172">
          <cell r="B1172">
            <v>45367</v>
          </cell>
          <cell r="C1172">
            <v>45383</v>
          </cell>
        </row>
        <row r="1173">
          <cell r="B1173">
            <v>45368</v>
          </cell>
          <cell r="C1173">
            <v>45383</v>
          </cell>
        </row>
        <row r="1174">
          <cell r="B1174">
            <v>45369</v>
          </cell>
          <cell r="C1174">
            <v>45413</v>
          </cell>
        </row>
        <row r="1175">
          <cell r="B1175">
            <v>45370</v>
          </cell>
          <cell r="C1175">
            <v>45413</v>
          </cell>
        </row>
        <row r="1176">
          <cell r="B1176">
            <v>45371</v>
          </cell>
          <cell r="C1176">
            <v>45413</v>
          </cell>
        </row>
        <row r="1177">
          <cell r="B1177">
            <v>45372</v>
          </cell>
          <cell r="C1177">
            <v>45413</v>
          </cell>
        </row>
        <row r="1178">
          <cell r="B1178">
            <v>45373</v>
          </cell>
          <cell r="C1178">
            <v>45413</v>
          </cell>
        </row>
        <row r="1179">
          <cell r="B1179">
            <v>45374</v>
          </cell>
          <cell r="C1179">
            <v>45413</v>
          </cell>
        </row>
        <row r="1180">
          <cell r="B1180">
            <v>45375</v>
          </cell>
          <cell r="C1180">
            <v>45413</v>
          </cell>
        </row>
        <row r="1181">
          <cell r="B1181">
            <v>45376</v>
          </cell>
          <cell r="C1181">
            <v>45413</v>
          </cell>
        </row>
        <row r="1182">
          <cell r="B1182">
            <v>45377</v>
          </cell>
          <cell r="C1182">
            <v>45413</v>
          </cell>
        </row>
        <row r="1183">
          <cell r="B1183">
            <v>45378</v>
          </cell>
          <cell r="C1183">
            <v>45413</v>
          </cell>
        </row>
        <row r="1184">
          <cell r="B1184">
            <v>45379</v>
          </cell>
          <cell r="C1184">
            <v>45413</v>
          </cell>
        </row>
        <row r="1185">
          <cell r="B1185">
            <v>45380</v>
          </cell>
          <cell r="C1185">
            <v>45413</v>
          </cell>
        </row>
        <row r="1186">
          <cell r="B1186">
            <v>45381</v>
          </cell>
          <cell r="C1186">
            <v>45413</v>
          </cell>
        </row>
        <row r="1187">
          <cell r="B1187">
            <v>45382</v>
          </cell>
          <cell r="C1187">
            <v>45413</v>
          </cell>
        </row>
        <row r="1188">
          <cell r="B1188">
            <v>45383</v>
          </cell>
          <cell r="C1188">
            <v>45413</v>
          </cell>
        </row>
        <row r="1189">
          <cell r="B1189">
            <v>45384</v>
          </cell>
          <cell r="C1189">
            <v>45413</v>
          </cell>
        </row>
        <row r="1190">
          <cell r="B1190">
            <v>45385</v>
          </cell>
          <cell r="C1190">
            <v>45413</v>
          </cell>
        </row>
        <row r="1191">
          <cell r="B1191">
            <v>45386</v>
          </cell>
          <cell r="C1191">
            <v>45413</v>
          </cell>
        </row>
        <row r="1192">
          <cell r="B1192">
            <v>45387</v>
          </cell>
          <cell r="C1192">
            <v>45413</v>
          </cell>
        </row>
        <row r="1193">
          <cell r="B1193">
            <v>45388</v>
          </cell>
          <cell r="C1193">
            <v>45413</v>
          </cell>
        </row>
        <row r="1194">
          <cell r="B1194">
            <v>45389</v>
          </cell>
          <cell r="C1194">
            <v>45413</v>
          </cell>
        </row>
        <row r="1195">
          <cell r="B1195">
            <v>45390</v>
          </cell>
          <cell r="C1195">
            <v>45413</v>
          </cell>
        </row>
        <row r="1196">
          <cell r="B1196">
            <v>45391</v>
          </cell>
          <cell r="C1196">
            <v>45413</v>
          </cell>
        </row>
        <row r="1197">
          <cell r="B1197">
            <v>45392</v>
          </cell>
          <cell r="C1197">
            <v>45413</v>
          </cell>
        </row>
        <row r="1198">
          <cell r="B1198">
            <v>45393</v>
          </cell>
          <cell r="C1198">
            <v>45413</v>
          </cell>
        </row>
        <row r="1199">
          <cell r="B1199">
            <v>45394</v>
          </cell>
          <cell r="C1199">
            <v>45413</v>
          </cell>
        </row>
        <row r="1200">
          <cell r="B1200">
            <v>45395</v>
          </cell>
          <cell r="C1200">
            <v>45413</v>
          </cell>
        </row>
        <row r="1201">
          <cell r="B1201">
            <v>45396</v>
          </cell>
          <cell r="C1201">
            <v>45413</v>
          </cell>
        </row>
        <row r="1202">
          <cell r="B1202">
            <v>45397</v>
          </cell>
          <cell r="C1202">
            <v>45413</v>
          </cell>
        </row>
        <row r="1203">
          <cell r="B1203">
            <v>45398</v>
          </cell>
          <cell r="C1203">
            <v>45413</v>
          </cell>
        </row>
        <row r="1204">
          <cell r="B1204">
            <v>45399</v>
          </cell>
          <cell r="C1204">
            <v>45413</v>
          </cell>
        </row>
        <row r="1205">
          <cell r="B1205">
            <v>45400</v>
          </cell>
          <cell r="C1205">
            <v>45444</v>
          </cell>
        </row>
        <row r="1206">
          <cell r="B1206">
            <v>45401</v>
          </cell>
          <cell r="C1206">
            <v>45444</v>
          </cell>
        </row>
        <row r="1207">
          <cell r="B1207">
            <v>45402</v>
          </cell>
          <cell r="C1207">
            <v>45444</v>
          </cell>
        </row>
        <row r="1208">
          <cell r="B1208">
            <v>45403</v>
          </cell>
          <cell r="C1208">
            <v>45444</v>
          </cell>
        </row>
        <row r="1209">
          <cell r="B1209">
            <v>45404</v>
          </cell>
          <cell r="C1209">
            <v>45444</v>
          </cell>
        </row>
        <row r="1210">
          <cell r="B1210">
            <v>45405</v>
          </cell>
          <cell r="C1210">
            <v>45444</v>
          </cell>
        </row>
        <row r="1211">
          <cell r="B1211">
            <v>45406</v>
          </cell>
          <cell r="C1211">
            <v>45444</v>
          </cell>
        </row>
        <row r="1212">
          <cell r="B1212">
            <v>45407</v>
          </cell>
          <cell r="C1212">
            <v>45444</v>
          </cell>
        </row>
        <row r="1213">
          <cell r="B1213">
            <v>45408</v>
          </cell>
          <cell r="C1213">
            <v>45444</v>
          </cell>
        </row>
        <row r="1214">
          <cell r="B1214">
            <v>45409</v>
          </cell>
          <cell r="C1214">
            <v>45444</v>
          </cell>
        </row>
        <row r="1215">
          <cell r="B1215">
            <v>45410</v>
          </cell>
          <cell r="C1215">
            <v>45444</v>
          </cell>
        </row>
        <row r="1216">
          <cell r="B1216">
            <v>45411</v>
          </cell>
          <cell r="C1216">
            <v>45444</v>
          </cell>
        </row>
        <row r="1217">
          <cell r="B1217">
            <v>45412</v>
          </cell>
          <cell r="C1217">
            <v>45444</v>
          </cell>
        </row>
        <row r="1218">
          <cell r="B1218">
            <v>45413</v>
          </cell>
          <cell r="C1218">
            <v>45444</v>
          </cell>
        </row>
        <row r="1219">
          <cell r="B1219">
            <v>45414</v>
          </cell>
          <cell r="C1219">
            <v>45444</v>
          </cell>
        </row>
        <row r="1220">
          <cell r="B1220">
            <v>45415</v>
          </cell>
          <cell r="C1220">
            <v>45444</v>
          </cell>
        </row>
        <row r="1221">
          <cell r="B1221">
            <v>45416</v>
          </cell>
          <cell r="C1221">
            <v>45444</v>
          </cell>
        </row>
        <row r="1222">
          <cell r="B1222">
            <v>45417</v>
          </cell>
          <cell r="C1222">
            <v>45444</v>
          </cell>
        </row>
        <row r="1223">
          <cell r="B1223">
            <v>45418</v>
          </cell>
          <cell r="C1223">
            <v>45444</v>
          </cell>
        </row>
        <row r="1224">
          <cell r="B1224">
            <v>45419</v>
          </cell>
          <cell r="C1224">
            <v>45444</v>
          </cell>
        </row>
        <row r="1225">
          <cell r="B1225">
            <v>45420</v>
          </cell>
          <cell r="C1225">
            <v>45444</v>
          </cell>
        </row>
        <row r="1226">
          <cell r="B1226">
            <v>45421</v>
          </cell>
          <cell r="C1226">
            <v>45444</v>
          </cell>
        </row>
        <row r="1227">
          <cell r="B1227">
            <v>45422</v>
          </cell>
          <cell r="C1227">
            <v>45444</v>
          </cell>
        </row>
        <row r="1228">
          <cell r="B1228">
            <v>45423</v>
          </cell>
          <cell r="C1228">
            <v>45444</v>
          </cell>
        </row>
        <row r="1229">
          <cell r="B1229">
            <v>45424</v>
          </cell>
          <cell r="C1229">
            <v>45444</v>
          </cell>
        </row>
        <row r="1230">
          <cell r="B1230">
            <v>45425</v>
          </cell>
          <cell r="C1230">
            <v>45444</v>
          </cell>
        </row>
        <row r="1231">
          <cell r="B1231">
            <v>45426</v>
          </cell>
          <cell r="C1231">
            <v>45444</v>
          </cell>
        </row>
        <row r="1232">
          <cell r="B1232">
            <v>45427</v>
          </cell>
          <cell r="C1232">
            <v>45444</v>
          </cell>
        </row>
        <row r="1233">
          <cell r="B1233">
            <v>45428</v>
          </cell>
          <cell r="C1233">
            <v>45444</v>
          </cell>
        </row>
        <row r="1234">
          <cell r="B1234">
            <v>45429</v>
          </cell>
          <cell r="C1234">
            <v>45444</v>
          </cell>
        </row>
        <row r="1235">
          <cell r="B1235">
            <v>45430</v>
          </cell>
          <cell r="C1235">
            <v>45474</v>
          </cell>
        </row>
        <row r="1236">
          <cell r="B1236">
            <v>45431</v>
          </cell>
          <cell r="C1236">
            <v>45474</v>
          </cell>
        </row>
        <row r="1237">
          <cell r="B1237">
            <v>45432</v>
          </cell>
          <cell r="C1237">
            <v>45474</v>
          </cell>
        </row>
        <row r="1238">
          <cell r="B1238">
            <v>45433</v>
          </cell>
          <cell r="C1238">
            <v>45474</v>
          </cell>
        </row>
        <row r="1239">
          <cell r="B1239">
            <v>45434</v>
          </cell>
          <cell r="C1239">
            <v>45474</v>
          </cell>
        </row>
        <row r="1240">
          <cell r="B1240">
            <v>45435</v>
          </cell>
          <cell r="C1240">
            <v>45474</v>
          </cell>
        </row>
        <row r="1241">
          <cell r="B1241">
            <v>45436</v>
          </cell>
          <cell r="C1241">
            <v>45474</v>
          </cell>
        </row>
        <row r="1242">
          <cell r="B1242">
            <v>45437</v>
          </cell>
          <cell r="C1242">
            <v>45474</v>
          </cell>
        </row>
        <row r="1243">
          <cell r="B1243">
            <v>45438</v>
          </cell>
          <cell r="C1243">
            <v>45474</v>
          </cell>
        </row>
        <row r="1244">
          <cell r="B1244">
            <v>45439</v>
          </cell>
          <cell r="C1244">
            <v>45474</v>
          </cell>
        </row>
        <row r="1245">
          <cell r="B1245">
            <v>45440</v>
          </cell>
          <cell r="C1245">
            <v>45474</v>
          </cell>
        </row>
        <row r="1246">
          <cell r="B1246">
            <v>45441</v>
          </cell>
          <cell r="C1246">
            <v>45474</v>
          </cell>
        </row>
        <row r="1247">
          <cell r="B1247">
            <v>45442</v>
          </cell>
          <cell r="C1247">
            <v>45474</v>
          </cell>
        </row>
        <row r="1248">
          <cell r="B1248">
            <v>45443</v>
          </cell>
          <cell r="C1248">
            <v>45474</v>
          </cell>
        </row>
        <row r="1249">
          <cell r="B1249">
            <v>45444</v>
          </cell>
          <cell r="C1249">
            <v>45474</v>
          </cell>
        </row>
        <row r="1250">
          <cell r="B1250">
            <v>45445</v>
          </cell>
          <cell r="C1250">
            <v>45474</v>
          </cell>
        </row>
        <row r="1251">
          <cell r="B1251">
            <v>45446</v>
          </cell>
          <cell r="C1251">
            <v>45474</v>
          </cell>
        </row>
        <row r="1252">
          <cell r="B1252">
            <v>45447</v>
          </cell>
          <cell r="C1252">
            <v>45474</v>
          </cell>
        </row>
        <row r="1253">
          <cell r="B1253">
            <v>45448</v>
          </cell>
          <cell r="C1253">
            <v>45474</v>
          </cell>
        </row>
        <row r="1254">
          <cell r="B1254">
            <v>45449</v>
          </cell>
          <cell r="C1254">
            <v>45474</v>
          </cell>
        </row>
        <row r="1255">
          <cell r="B1255">
            <v>45450</v>
          </cell>
          <cell r="C1255">
            <v>45474</v>
          </cell>
        </row>
        <row r="1256">
          <cell r="B1256">
            <v>45451</v>
          </cell>
          <cell r="C1256">
            <v>45474</v>
          </cell>
        </row>
        <row r="1257">
          <cell r="B1257">
            <v>45452</v>
          </cell>
          <cell r="C1257">
            <v>45474</v>
          </cell>
        </row>
        <row r="1258">
          <cell r="B1258">
            <v>45453</v>
          </cell>
          <cell r="C1258">
            <v>45474</v>
          </cell>
        </row>
        <row r="1259">
          <cell r="B1259">
            <v>45454</v>
          </cell>
          <cell r="C1259">
            <v>45474</v>
          </cell>
        </row>
        <row r="1260">
          <cell r="B1260">
            <v>45455</v>
          </cell>
          <cell r="C1260">
            <v>45474</v>
          </cell>
        </row>
        <row r="1261">
          <cell r="B1261">
            <v>45456</v>
          </cell>
          <cell r="C1261">
            <v>45474</v>
          </cell>
        </row>
        <row r="1262">
          <cell r="B1262">
            <v>45457</v>
          </cell>
          <cell r="C1262">
            <v>45474</v>
          </cell>
        </row>
        <row r="1263">
          <cell r="B1263">
            <v>45458</v>
          </cell>
          <cell r="C1263">
            <v>45474</v>
          </cell>
        </row>
        <row r="1264">
          <cell r="B1264">
            <v>45459</v>
          </cell>
          <cell r="C1264">
            <v>45474</v>
          </cell>
        </row>
        <row r="1265">
          <cell r="B1265">
            <v>45460</v>
          </cell>
          <cell r="C1265">
            <v>45474</v>
          </cell>
        </row>
        <row r="1266">
          <cell r="B1266">
            <v>45461</v>
          </cell>
          <cell r="C1266">
            <v>45505</v>
          </cell>
        </row>
        <row r="1267">
          <cell r="B1267">
            <v>45462</v>
          </cell>
          <cell r="C1267">
            <v>45505</v>
          </cell>
        </row>
        <row r="1268">
          <cell r="B1268">
            <v>45463</v>
          </cell>
          <cell r="C1268">
            <v>45505</v>
          </cell>
        </row>
        <row r="1269">
          <cell r="B1269">
            <v>45464</v>
          </cell>
          <cell r="C1269">
            <v>45505</v>
          </cell>
        </row>
        <row r="1270">
          <cell r="B1270">
            <v>45465</v>
          </cell>
          <cell r="C1270">
            <v>45505</v>
          </cell>
        </row>
        <row r="1271">
          <cell r="B1271">
            <v>45466</v>
          </cell>
          <cell r="C1271">
            <v>45505</v>
          </cell>
        </row>
        <row r="1272">
          <cell r="B1272">
            <v>45467</v>
          </cell>
          <cell r="C1272">
            <v>45505</v>
          </cell>
        </row>
        <row r="1273">
          <cell r="B1273">
            <v>45468</v>
          </cell>
          <cell r="C1273">
            <v>45505</v>
          </cell>
        </row>
        <row r="1274">
          <cell r="B1274">
            <v>45469</v>
          </cell>
          <cell r="C1274">
            <v>45505</v>
          </cell>
        </row>
        <row r="1275">
          <cell r="B1275">
            <v>45470</v>
          </cell>
          <cell r="C1275">
            <v>45505</v>
          </cell>
        </row>
        <row r="1276">
          <cell r="B1276">
            <v>45471</v>
          </cell>
          <cell r="C1276">
            <v>45505</v>
          </cell>
        </row>
        <row r="1277">
          <cell r="B1277">
            <v>45472</v>
          </cell>
          <cell r="C1277">
            <v>45505</v>
          </cell>
        </row>
        <row r="1278">
          <cell r="B1278">
            <v>45473</v>
          </cell>
          <cell r="C1278">
            <v>45505</v>
          </cell>
        </row>
        <row r="1279">
          <cell r="B1279">
            <v>45474</v>
          </cell>
          <cell r="C1279">
            <v>45505</v>
          </cell>
        </row>
        <row r="1280">
          <cell r="B1280">
            <v>45475</v>
          </cell>
          <cell r="C1280">
            <v>45505</v>
          </cell>
        </row>
        <row r="1281">
          <cell r="B1281">
            <v>45476</v>
          </cell>
          <cell r="C1281">
            <v>45505</v>
          </cell>
        </row>
        <row r="1282">
          <cell r="B1282">
            <v>45477</v>
          </cell>
          <cell r="C1282">
            <v>45505</v>
          </cell>
        </row>
        <row r="1283">
          <cell r="B1283">
            <v>45478</v>
          </cell>
          <cell r="C1283">
            <v>45505</v>
          </cell>
        </row>
        <row r="1284">
          <cell r="B1284">
            <v>45479</v>
          </cell>
          <cell r="C1284">
            <v>45505</v>
          </cell>
        </row>
        <row r="1285">
          <cell r="B1285">
            <v>45480</v>
          </cell>
          <cell r="C1285">
            <v>45505</v>
          </cell>
        </row>
        <row r="1286">
          <cell r="B1286">
            <v>45481</v>
          </cell>
          <cell r="C1286">
            <v>45505</v>
          </cell>
        </row>
        <row r="1287">
          <cell r="B1287">
            <v>45482</v>
          </cell>
          <cell r="C1287">
            <v>45505</v>
          </cell>
        </row>
        <row r="1288">
          <cell r="B1288">
            <v>45483</v>
          </cell>
          <cell r="C1288">
            <v>45505</v>
          </cell>
        </row>
        <row r="1289">
          <cell r="B1289">
            <v>45484</v>
          </cell>
          <cell r="C1289">
            <v>45505</v>
          </cell>
        </row>
        <row r="1290">
          <cell r="B1290">
            <v>45485</v>
          </cell>
          <cell r="C1290">
            <v>45505</v>
          </cell>
        </row>
        <row r="1291">
          <cell r="B1291">
            <v>45486</v>
          </cell>
          <cell r="C1291">
            <v>45505</v>
          </cell>
        </row>
        <row r="1292">
          <cell r="B1292">
            <v>45487</v>
          </cell>
          <cell r="C1292">
            <v>45505</v>
          </cell>
        </row>
        <row r="1293">
          <cell r="B1293">
            <v>45488</v>
          </cell>
          <cell r="C1293">
            <v>45505</v>
          </cell>
        </row>
        <row r="1294">
          <cell r="B1294">
            <v>45489</v>
          </cell>
          <cell r="C1294">
            <v>45505</v>
          </cell>
        </row>
        <row r="1295">
          <cell r="B1295">
            <v>45490</v>
          </cell>
          <cell r="C1295">
            <v>45505</v>
          </cell>
        </row>
        <row r="1296">
          <cell r="B1296">
            <v>45491</v>
          </cell>
          <cell r="C1296">
            <v>45536</v>
          </cell>
        </row>
        <row r="1297">
          <cell r="B1297">
            <v>45492</v>
          </cell>
          <cell r="C1297">
            <v>45536</v>
          </cell>
        </row>
        <row r="1298">
          <cell r="B1298">
            <v>45493</v>
          </cell>
          <cell r="C1298">
            <v>45536</v>
          </cell>
        </row>
        <row r="1299">
          <cell r="B1299">
            <v>45494</v>
          </cell>
          <cell r="C1299">
            <v>45536</v>
          </cell>
        </row>
        <row r="1300">
          <cell r="B1300">
            <v>45495</v>
          </cell>
          <cell r="C1300">
            <v>45536</v>
          </cell>
        </row>
        <row r="1301">
          <cell r="B1301">
            <v>45496</v>
          </cell>
          <cell r="C1301">
            <v>45536</v>
          </cell>
        </row>
        <row r="1302">
          <cell r="B1302">
            <v>45497</v>
          </cell>
          <cell r="C1302">
            <v>45536</v>
          </cell>
        </row>
        <row r="1303">
          <cell r="B1303">
            <v>45498</v>
          </cell>
          <cell r="C1303">
            <v>45536</v>
          </cell>
        </row>
        <row r="1304">
          <cell r="B1304">
            <v>45499</v>
          </cell>
          <cell r="C1304">
            <v>45536</v>
          </cell>
        </row>
        <row r="1305">
          <cell r="B1305">
            <v>45500</v>
          </cell>
          <cell r="C1305">
            <v>45536</v>
          </cell>
        </row>
        <row r="1306">
          <cell r="B1306">
            <v>45501</v>
          </cell>
          <cell r="C1306">
            <v>45536</v>
          </cell>
        </row>
        <row r="1307">
          <cell r="B1307">
            <v>45502</v>
          </cell>
          <cell r="C1307">
            <v>45536</v>
          </cell>
        </row>
        <row r="1308">
          <cell r="B1308">
            <v>45503</v>
          </cell>
          <cell r="C1308">
            <v>45536</v>
          </cell>
        </row>
        <row r="1309">
          <cell r="B1309">
            <v>45504</v>
          </cell>
          <cell r="C1309">
            <v>45536</v>
          </cell>
        </row>
        <row r="1310">
          <cell r="B1310">
            <v>45505</v>
          </cell>
          <cell r="C1310">
            <v>45536</v>
          </cell>
        </row>
        <row r="1311">
          <cell r="B1311">
            <v>45506</v>
          </cell>
          <cell r="C1311">
            <v>45536</v>
          </cell>
        </row>
        <row r="1312">
          <cell r="B1312">
            <v>45507</v>
          </cell>
          <cell r="C1312">
            <v>45536</v>
          </cell>
        </row>
        <row r="1313">
          <cell r="B1313">
            <v>45508</v>
          </cell>
          <cell r="C1313">
            <v>45536</v>
          </cell>
        </row>
        <row r="1314">
          <cell r="B1314">
            <v>45509</v>
          </cell>
          <cell r="C1314">
            <v>45536</v>
          </cell>
        </row>
        <row r="1315">
          <cell r="B1315">
            <v>45510</v>
          </cell>
          <cell r="C1315">
            <v>45536</v>
          </cell>
        </row>
        <row r="1316">
          <cell r="B1316">
            <v>45511</v>
          </cell>
          <cell r="C1316">
            <v>45536</v>
          </cell>
        </row>
        <row r="1317">
          <cell r="B1317">
            <v>45512</v>
          </cell>
          <cell r="C1317">
            <v>45536</v>
          </cell>
        </row>
        <row r="1318">
          <cell r="B1318">
            <v>45513</v>
          </cell>
          <cell r="C1318">
            <v>45536</v>
          </cell>
        </row>
        <row r="1319">
          <cell r="B1319">
            <v>45514</v>
          </cell>
          <cell r="C1319">
            <v>45536</v>
          </cell>
        </row>
        <row r="1320">
          <cell r="B1320">
            <v>45515</v>
          </cell>
          <cell r="C1320">
            <v>45536</v>
          </cell>
        </row>
        <row r="1321">
          <cell r="B1321">
            <v>45516</v>
          </cell>
          <cell r="C1321">
            <v>45536</v>
          </cell>
        </row>
        <row r="1322">
          <cell r="B1322">
            <v>45517</v>
          </cell>
          <cell r="C1322">
            <v>45536</v>
          </cell>
        </row>
        <row r="1323">
          <cell r="B1323">
            <v>45518</v>
          </cell>
          <cell r="C1323">
            <v>45536</v>
          </cell>
        </row>
        <row r="1324">
          <cell r="B1324">
            <v>45519</v>
          </cell>
          <cell r="C1324">
            <v>45536</v>
          </cell>
        </row>
        <row r="1325">
          <cell r="B1325">
            <v>45520</v>
          </cell>
          <cell r="C1325">
            <v>45536</v>
          </cell>
        </row>
        <row r="1326">
          <cell r="B1326">
            <v>45521</v>
          </cell>
          <cell r="C1326">
            <v>45536</v>
          </cell>
        </row>
        <row r="1327">
          <cell r="B1327">
            <v>45522</v>
          </cell>
          <cell r="C1327">
            <v>45566</v>
          </cell>
        </row>
        <row r="1328">
          <cell r="B1328">
            <v>45523</v>
          </cell>
          <cell r="C1328">
            <v>45566</v>
          </cell>
        </row>
        <row r="1329">
          <cell r="B1329">
            <v>45524</v>
          </cell>
          <cell r="C1329">
            <v>45566</v>
          </cell>
        </row>
        <row r="1330">
          <cell r="B1330">
            <v>45525</v>
          </cell>
          <cell r="C1330">
            <v>45566</v>
          </cell>
        </row>
        <row r="1331">
          <cell r="B1331">
            <v>45526</v>
          </cell>
          <cell r="C1331">
            <v>45566</v>
          </cell>
        </row>
        <row r="1332">
          <cell r="B1332">
            <v>45527</v>
          </cell>
          <cell r="C1332">
            <v>45566</v>
          </cell>
        </row>
        <row r="1333">
          <cell r="B1333">
            <v>45528</v>
          </cell>
          <cell r="C1333">
            <v>45566</v>
          </cell>
        </row>
        <row r="1334">
          <cell r="B1334">
            <v>45529</v>
          </cell>
          <cell r="C1334">
            <v>45566</v>
          </cell>
        </row>
        <row r="1335">
          <cell r="B1335">
            <v>45530</v>
          </cell>
          <cell r="C1335">
            <v>45566</v>
          </cell>
        </row>
        <row r="1336">
          <cell r="B1336">
            <v>45531</v>
          </cell>
          <cell r="C1336">
            <v>45566</v>
          </cell>
        </row>
        <row r="1337">
          <cell r="B1337">
            <v>45532</v>
          </cell>
          <cell r="C1337">
            <v>45566</v>
          </cell>
        </row>
        <row r="1338">
          <cell r="B1338">
            <v>45533</v>
          </cell>
          <cell r="C1338">
            <v>45566</v>
          </cell>
        </row>
        <row r="1339">
          <cell r="B1339">
            <v>45534</v>
          </cell>
          <cell r="C1339">
            <v>45566</v>
          </cell>
        </row>
        <row r="1340">
          <cell r="B1340">
            <v>45535</v>
          </cell>
          <cell r="C1340">
            <v>45566</v>
          </cell>
        </row>
        <row r="1341">
          <cell r="B1341">
            <v>45536</v>
          </cell>
          <cell r="C1341">
            <v>45566</v>
          </cell>
        </row>
        <row r="1342">
          <cell r="B1342">
            <v>45537</v>
          </cell>
          <cell r="C1342">
            <v>45566</v>
          </cell>
        </row>
        <row r="1343">
          <cell r="B1343">
            <v>45538</v>
          </cell>
          <cell r="C1343">
            <v>45566</v>
          </cell>
        </row>
        <row r="1344">
          <cell r="B1344">
            <v>45539</v>
          </cell>
          <cell r="C1344">
            <v>45566</v>
          </cell>
        </row>
        <row r="1345">
          <cell r="B1345">
            <v>45540</v>
          </cell>
          <cell r="C1345">
            <v>45566</v>
          </cell>
        </row>
        <row r="1346">
          <cell r="B1346">
            <v>45541</v>
          </cell>
          <cell r="C1346">
            <v>45566</v>
          </cell>
        </row>
        <row r="1347">
          <cell r="B1347">
            <v>45542</v>
          </cell>
          <cell r="C1347">
            <v>45566</v>
          </cell>
        </row>
        <row r="1348">
          <cell r="B1348">
            <v>45543</v>
          </cell>
          <cell r="C1348">
            <v>45566</v>
          </cell>
        </row>
        <row r="1349">
          <cell r="B1349">
            <v>45544</v>
          </cell>
          <cell r="C1349">
            <v>45566</v>
          </cell>
        </row>
        <row r="1350">
          <cell r="B1350">
            <v>45545</v>
          </cell>
          <cell r="C1350">
            <v>45566</v>
          </cell>
        </row>
        <row r="1351">
          <cell r="B1351">
            <v>45546</v>
          </cell>
          <cell r="C1351">
            <v>45566</v>
          </cell>
        </row>
        <row r="1352">
          <cell r="B1352">
            <v>45547</v>
          </cell>
          <cell r="C1352">
            <v>45566</v>
          </cell>
        </row>
        <row r="1353">
          <cell r="B1353">
            <v>45548</v>
          </cell>
          <cell r="C1353">
            <v>45566</v>
          </cell>
        </row>
        <row r="1354">
          <cell r="B1354">
            <v>45549</v>
          </cell>
          <cell r="C1354">
            <v>45566</v>
          </cell>
        </row>
        <row r="1355">
          <cell r="B1355">
            <v>45550</v>
          </cell>
          <cell r="C1355">
            <v>45566</v>
          </cell>
        </row>
        <row r="1356">
          <cell r="B1356">
            <v>45551</v>
          </cell>
          <cell r="C1356">
            <v>45566</v>
          </cell>
        </row>
        <row r="1357">
          <cell r="B1357">
            <v>45552</v>
          </cell>
          <cell r="C1357">
            <v>45566</v>
          </cell>
        </row>
        <row r="1358">
          <cell r="B1358">
            <v>45553</v>
          </cell>
          <cell r="C1358">
            <v>45597</v>
          </cell>
        </row>
        <row r="1359">
          <cell r="B1359">
            <v>45554</v>
          </cell>
          <cell r="C1359">
            <v>45597</v>
          </cell>
        </row>
        <row r="1360">
          <cell r="B1360">
            <v>45555</v>
          </cell>
          <cell r="C1360">
            <v>45597</v>
          </cell>
        </row>
        <row r="1361">
          <cell r="B1361">
            <v>45556</v>
          </cell>
          <cell r="C1361">
            <v>45597</v>
          </cell>
        </row>
        <row r="1362">
          <cell r="B1362">
            <v>45557</v>
          </cell>
          <cell r="C1362">
            <v>45597</v>
          </cell>
        </row>
        <row r="1363">
          <cell r="B1363">
            <v>45558</v>
          </cell>
          <cell r="C1363">
            <v>45597</v>
          </cell>
        </row>
        <row r="1364">
          <cell r="B1364">
            <v>45559</v>
          </cell>
          <cell r="C1364">
            <v>45597</v>
          </cell>
        </row>
        <row r="1365">
          <cell r="B1365">
            <v>45560</v>
          </cell>
          <cell r="C1365">
            <v>45597</v>
          </cell>
        </row>
        <row r="1366">
          <cell r="B1366">
            <v>45561</v>
          </cell>
          <cell r="C1366">
            <v>45597</v>
          </cell>
        </row>
        <row r="1367">
          <cell r="B1367">
            <v>45562</v>
          </cell>
          <cell r="C1367">
            <v>45597</v>
          </cell>
        </row>
        <row r="1368">
          <cell r="B1368">
            <v>45563</v>
          </cell>
          <cell r="C1368">
            <v>45597</v>
          </cell>
        </row>
        <row r="1369">
          <cell r="B1369">
            <v>45564</v>
          </cell>
          <cell r="C1369">
            <v>45597</v>
          </cell>
        </row>
        <row r="1370">
          <cell r="B1370">
            <v>45565</v>
          </cell>
          <cell r="C1370">
            <v>45597</v>
          </cell>
        </row>
        <row r="1371">
          <cell r="B1371">
            <v>45566</v>
          </cell>
          <cell r="C1371">
            <v>45597</v>
          </cell>
        </row>
        <row r="1372">
          <cell r="B1372">
            <v>45567</v>
          </cell>
          <cell r="C1372">
            <v>45597</v>
          </cell>
        </row>
        <row r="1373">
          <cell r="B1373">
            <v>45568</v>
          </cell>
          <cell r="C1373">
            <v>45597</v>
          </cell>
        </row>
        <row r="1374">
          <cell r="B1374">
            <v>45569</v>
          </cell>
          <cell r="C1374">
            <v>45597</v>
          </cell>
        </row>
        <row r="1375">
          <cell r="B1375">
            <v>45570</v>
          </cell>
          <cell r="C1375">
            <v>45597</v>
          </cell>
        </row>
        <row r="1376">
          <cell r="B1376">
            <v>45571</v>
          </cell>
          <cell r="C1376">
            <v>45597</v>
          </cell>
        </row>
        <row r="1377">
          <cell r="B1377">
            <v>45572</v>
          </cell>
          <cell r="C1377">
            <v>45597</v>
          </cell>
        </row>
        <row r="1378">
          <cell r="B1378">
            <v>45573</v>
          </cell>
          <cell r="C1378">
            <v>45597</v>
          </cell>
        </row>
        <row r="1379">
          <cell r="B1379">
            <v>45574</v>
          </cell>
          <cell r="C1379">
            <v>45597</v>
          </cell>
        </row>
        <row r="1380">
          <cell r="B1380">
            <v>45575</v>
          </cell>
          <cell r="C1380">
            <v>45597</v>
          </cell>
        </row>
        <row r="1381">
          <cell r="B1381">
            <v>45576</v>
          </cell>
          <cell r="C1381">
            <v>45597</v>
          </cell>
        </row>
        <row r="1382">
          <cell r="B1382">
            <v>45577</v>
          </cell>
          <cell r="C1382">
            <v>45597</v>
          </cell>
        </row>
        <row r="1383">
          <cell r="B1383">
            <v>45578</v>
          </cell>
          <cell r="C1383">
            <v>45597</v>
          </cell>
        </row>
        <row r="1384">
          <cell r="B1384">
            <v>45579</v>
          </cell>
          <cell r="C1384">
            <v>45597</v>
          </cell>
        </row>
        <row r="1385">
          <cell r="B1385">
            <v>45580</v>
          </cell>
          <cell r="C1385">
            <v>45597</v>
          </cell>
        </row>
        <row r="1386">
          <cell r="B1386">
            <v>45581</v>
          </cell>
          <cell r="C1386">
            <v>45597</v>
          </cell>
        </row>
        <row r="1387">
          <cell r="B1387">
            <v>45582</v>
          </cell>
          <cell r="C1387">
            <v>45597</v>
          </cell>
        </row>
        <row r="1388">
          <cell r="B1388">
            <v>45583</v>
          </cell>
          <cell r="C1388">
            <v>45627</v>
          </cell>
        </row>
        <row r="1389">
          <cell r="B1389">
            <v>45584</v>
          </cell>
          <cell r="C1389">
            <v>45627</v>
          </cell>
        </row>
        <row r="1390">
          <cell r="B1390">
            <v>45585</v>
          </cell>
          <cell r="C1390">
            <v>45627</v>
          </cell>
        </row>
        <row r="1391">
          <cell r="B1391">
            <v>45586</v>
          </cell>
          <cell r="C1391">
            <v>45627</v>
          </cell>
        </row>
        <row r="1392">
          <cell r="B1392">
            <v>45587</v>
          </cell>
          <cell r="C1392">
            <v>45627</v>
          </cell>
        </row>
        <row r="1393">
          <cell r="B1393">
            <v>45588</v>
          </cell>
          <cell r="C1393">
            <v>45627</v>
          </cell>
        </row>
        <row r="1394">
          <cell r="B1394">
            <v>45589</v>
          </cell>
          <cell r="C1394">
            <v>45627</v>
          </cell>
        </row>
        <row r="1395">
          <cell r="B1395">
            <v>45590</v>
          </cell>
          <cell r="C1395">
            <v>45627</v>
          </cell>
        </row>
        <row r="1396">
          <cell r="B1396">
            <v>45591</v>
          </cell>
          <cell r="C1396">
            <v>45627</v>
          </cell>
        </row>
        <row r="1397">
          <cell r="B1397">
            <v>45592</v>
          </cell>
          <cell r="C1397">
            <v>45627</v>
          </cell>
        </row>
        <row r="1398">
          <cell r="B1398">
            <v>45593</v>
          </cell>
          <cell r="C1398">
            <v>45627</v>
          </cell>
        </row>
        <row r="1399">
          <cell r="B1399">
            <v>45594</v>
          </cell>
          <cell r="C1399">
            <v>45627</v>
          </cell>
        </row>
        <row r="1400">
          <cell r="B1400">
            <v>45595</v>
          </cell>
          <cell r="C1400">
            <v>45627</v>
          </cell>
        </row>
        <row r="1401">
          <cell r="B1401">
            <v>45596</v>
          </cell>
          <cell r="C1401">
            <v>45627</v>
          </cell>
        </row>
        <row r="1402">
          <cell r="B1402">
            <v>45597</v>
          </cell>
          <cell r="C1402">
            <v>45627</v>
          </cell>
        </row>
        <row r="1403">
          <cell r="B1403">
            <v>45598</v>
          </cell>
          <cell r="C1403">
            <v>45627</v>
          </cell>
        </row>
        <row r="1404">
          <cell r="B1404">
            <v>45599</v>
          </cell>
          <cell r="C1404">
            <v>45627</v>
          </cell>
        </row>
        <row r="1405">
          <cell r="B1405">
            <v>45600</v>
          </cell>
          <cell r="C1405">
            <v>45627</v>
          </cell>
        </row>
        <row r="1406">
          <cell r="B1406">
            <v>45601</v>
          </cell>
          <cell r="C1406">
            <v>45627</v>
          </cell>
        </row>
        <row r="1407">
          <cell r="B1407">
            <v>45602</v>
          </cell>
          <cell r="C1407">
            <v>45627</v>
          </cell>
        </row>
        <row r="1408">
          <cell r="B1408">
            <v>45603</v>
          </cell>
          <cell r="C1408">
            <v>45627</v>
          </cell>
        </row>
        <row r="1409">
          <cell r="B1409">
            <v>45604</v>
          </cell>
          <cell r="C1409">
            <v>45627</v>
          </cell>
        </row>
        <row r="1410">
          <cell r="B1410">
            <v>45605</v>
          </cell>
          <cell r="C1410">
            <v>45627</v>
          </cell>
        </row>
        <row r="1411">
          <cell r="B1411">
            <v>45606</v>
          </cell>
          <cell r="C1411">
            <v>45627</v>
          </cell>
        </row>
        <row r="1412">
          <cell r="B1412">
            <v>45607</v>
          </cell>
          <cell r="C1412">
            <v>45627</v>
          </cell>
        </row>
        <row r="1413">
          <cell r="B1413">
            <v>45608</v>
          </cell>
          <cell r="C1413">
            <v>45627</v>
          </cell>
        </row>
        <row r="1414">
          <cell r="B1414">
            <v>45609</v>
          </cell>
          <cell r="C1414">
            <v>45627</v>
          </cell>
        </row>
        <row r="1415">
          <cell r="B1415">
            <v>45610</v>
          </cell>
          <cell r="C1415">
            <v>45627</v>
          </cell>
        </row>
        <row r="1416">
          <cell r="B1416">
            <v>45611</v>
          </cell>
          <cell r="C1416">
            <v>45627</v>
          </cell>
        </row>
        <row r="1417">
          <cell r="B1417">
            <v>45612</v>
          </cell>
          <cell r="C1417">
            <v>45627</v>
          </cell>
        </row>
        <row r="1418">
          <cell r="B1418">
            <v>45613</v>
          </cell>
          <cell r="C1418">
            <v>45627</v>
          </cell>
        </row>
        <row r="1419">
          <cell r="B1419">
            <v>45614</v>
          </cell>
          <cell r="C1419">
            <v>45658</v>
          </cell>
        </row>
        <row r="1420">
          <cell r="B1420">
            <v>45615</v>
          </cell>
          <cell r="C1420">
            <v>45658</v>
          </cell>
        </row>
        <row r="1421">
          <cell r="B1421">
            <v>45616</v>
          </cell>
          <cell r="C1421">
            <v>45658</v>
          </cell>
        </row>
        <row r="1422">
          <cell r="B1422">
            <v>45617</v>
          </cell>
          <cell r="C1422">
            <v>45658</v>
          </cell>
        </row>
        <row r="1423">
          <cell r="B1423">
            <v>45618</v>
          </cell>
          <cell r="C1423">
            <v>45658</v>
          </cell>
        </row>
        <row r="1424">
          <cell r="B1424">
            <v>45619</v>
          </cell>
          <cell r="C1424">
            <v>45658</v>
          </cell>
        </row>
        <row r="1425">
          <cell r="B1425">
            <v>45620</v>
          </cell>
          <cell r="C1425">
            <v>45658</v>
          </cell>
        </row>
        <row r="1426">
          <cell r="B1426">
            <v>45621</v>
          </cell>
          <cell r="C1426">
            <v>45658</v>
          </cell>
        </row>
        <row r="1427">
          <cell r="B1427">
            <v>45622</v>
          </cell>
          <cell r="C1427">
            <v>45658</v>
          </cell>
        </row>
        <row r="1428">
          <cell r="B1428">
            <v>45623</v>
          </cell>
          <cell r="C1428">
            <v>45658</v>
          </cell>
        </row>
        <row r="1429">
          <cell r="B1429">
            <v>45624</v>
          </cell>
          <cell r="C1429">
            <v>45658</v>
          </cell>
        </row>
        <row r="1430">
          <cell r="B1430">
            <v>45625</v>
          </cell>
          <cell r="C1430">
            <v>45658</v>
          </cell>
        </row>
        <row r="1431">
          <cell r="B1431">
            <v>45626</v>
          </cell>
          <cell r="C1431">
            <v>45658</v>
          </cell>
        </row>
        <row r="1432">
          <cell r="B1432">
            <v>45627</v>
          </cell>
          <cell r="C1432">
            <v>45658</v>
          </cell>
        </row>
        <row r="1433">
          <cell r="B1433">
            <v>45628</v>
          </cell>
          <cell r="C1433">
            <v>45658</v>
          </cell>
        </row>
        <row r="1434">
          <cell r="B1434">
            <v>45629</v>
          </cell>
          <cell r="C1434">
            <v>45658</v>
          </cell>
        </row>
        <row r="1435">
          <cell r="B1435">
            <v>45630</v>
          </cell>
          <cell r="C1435">
            <v>45658</v>
          </cell>
        </row>
        <row r="1436">
          <cell r="B1436">
            <v>45631</v>
          </cell>
          <cell r="C1436">
            <v>45658</v>
          </cell>
        </row>
        <row r="1437">
          <cell r="B1437">
            <v>45632</v>
          </cell>
          <cell r="C1437">
            <v>45658</v>
          </cell>
        </row>
        <row r="1438">
          <cell r="B1438">
            <v>45633</v>
          </cell>
          <cell r="C1438">
            <v>45658</v>
          </cell>
        </row>
        <row r="1439">
          <cell r="B1439">
            <v>45634</v>
          </cell>
          <cell r="C1439">
            <v>45658</v>
          </cell>
        </row>
        <row r="1440">
          <cell r="B1440">
            <v>45635</v>
          </cell>
          <cell r="C1440">
            <v>45658</v>
          </cell>
        </row>
        <row r="1441">
          <cell r="B1441">
            <v>45636</v>
          </cell>
          <cell r="C1441">
            <v>45658</v>
          </cell>
        </row>
        <row r="1442">
          <cell r="B1442">
            <v>45637</v>
          </cell>
          <cell r="C1442">
            <v>45658</v>
          </cell>
        </row>
        <row r="1443">
          <cell r="B1443">
            <v>45638</v>
          </cell>
          <cell r="C1443">
            <v>45658</v>
          </cell>
        </row>
        <row r="1444">
          <cell r="B1444">
            <v>45639</v>
          </cell>
          <cell r="C1444">
            <v>45658</v>
          </cell>
        </row>
        <row r="1445">
          <cell r="B1445">
            <v>45640</v>
          </cell>
          <cell r="C1445">
            <v>45658</v>
          </cell>
        </row>
        <row r="1446">
          <cell r="B1446">
            <v>45641</v>
          </cell>
          <cell r="C1446">
            <v>45658</v>
          </cell>
        </row>
        <row r="1447">
          <cell r="B1447">
            <v>45642</v>
          </cell>
          <cell r="C1447">
            <v>45658</v>
          </cell>
        </row>
        <row r="1448">
          <cell r="B1448">
            <v>45643</v>
          </cell>
          <cell r="C1448">
            <v>45658</v>
          </cell>
        </row>
        <row r="1449">
          <cell r="B1449">
            <v>45644</v>
          </cell>
          <cell r="C1449">
            <v>45689</v>
          </cell>
        </row>
        <row r="1450">
          <cell r="B1450">
            <v>45645</v>
          </cell>
          <cell r="C1450">
            <v>45689</v>
          </cell>
        </row>
        <row r="1451">
          <cell r="B1451">
            <v>45646</v>
          </cell>
          <cell r="C1451">
            <v>45689</v>
          </cell>
        </row>
        <row r="1452">
          <cell r="B1452">
            <v>45647</v>
          </cell>
          <cell r="C1452">
            <v>45689</v>
          </cell>
        </row>
        <row r="1453">
          <cell r="B1453">
            <v>45648</v>
          </cell>
          <cell r="C1453">
            <v>45689</v>
          </cell>
        </row>
        <row r="1454">
          <cell r="B1454">
            <v>45649</v>
          </cell>
          <cell r="C1454">
            <v>45689</v>
          </cell>
        </row>
        <row r="1455">
          <cell r="B1455">
            <v>45650</v>
          </cell>
          <cell r="C1455">
            <v>45689</v>
          </cell>
        </row>
        <row r="1456">
          <cell r="B1456">
            <v>45651</v>
          </cell>
          <cell r="C1456">
            <v>45689</v>
          </cell>
        </row>
        <row r="1457">
          <cell r="B1457">
            <v>45652</v>
          </cell>
          <cell r="C1457">
            <v>45689</v>
          </cell>
        </row>
        <row r="1458">
          <cell r="B1458">
            <v>45653</v>
          </cell>
          <cell r="C1458">
            <v>45689</v>
          </cell>
        </row>
        <row r="1459">
          <cell r="B1459">
            <v>45654</v>
          </cell>
          <cell r="C1459">
            <v>45689</v>
          </cell>
        </row>
        <row r="1460">
          <cell r="B1460">
            <v>45655</v>
          </cell>
          <cell r="C1460">
            <v>45689</v>
          </cell>
        </row>
        <row r="1461">
          <cell r="B1461">
            <v>45656</v>
          </cell>
          <cell r="C1461">
            <v>45689</v>
          </cell>
        </row>
        <row r="1462">
          <cell r="B1462">
            <v>45657</v>
          </cell>
          <cell r="C1462">
            <v>45689</v>
          </cell>
        </row>
        <row r="1463">
          <cell r="B1463">
            <v>45658</v>
          </cell>
          <cell r="C1463">
            <v>45689</v>
          </cell>
        </row>
        <row r="1464">
          <cell r="B1464">
            <v>45659</v>
          </cell>
          <cell r="C1464">
            <v>45689</v>
          </cell>
        </row>
        <row r="1465">
          <cell r="B1465">
            <v>45660</v>
          </cell>
          <cell r="C1465">
            <v>45689</v>
          </cell>
        </row>
        <row r="1466">
          <cell r="B1466">
            <v>45661</v>
          </cell>
          <cell r="C1466">
            <v>45689</v>
          </cell>
        </row>
        <row r="1467">
          <cell r="B1467">
            <v>45662</v>
          </cell>
          <cell r="C1467">
            <v>45689</v>
          </cell>
        </row>
        <row r="1468">
          <cell r="B1468">
            <v>45663</v>
          </cell>
          <cell r="C1468">
            <v>45689</v>
          </cell>
        </row>
        <row r="1469">
          <cell r="B1469">
            <v>45664</v>
          </cell>
          <cell r="C1469">
            <v>45689</v>
          </cell>
        </row>
        <row r="1470">
          <cell r="B1470">
            <v>45665</v>
          </cell>
          <cell r="C1470">
            <v>45689</v>
          </cell>
        </row>
        <row r="1471">
          <cell r="B1471">
            <v>45666</v>
          </cell>
          <cell r="C1471">
            <v>45689</v>
          </cell>
        </row>
        <row r="1472">
          <cell r="B1472">
            <v>45667</v>
          </cell>
          <cell r="C1472">
            <v>45689</v>
          </cell>
        </row>
        <row r="1473">
          <cell r="B1473">
            <v>45668</v>
          </cell>
          <cell r="C1473">
            <v>45689</v>
          </cell>
        </row>
        <row r="1474">
          <cell r="B1474">
            <v>45669</v>
          </cell>
          <cell r="C1474">
            <v>45689</v>
          </cell>
        </row>
        <row r="1475">
          <cell r="B1475">
            <v>45670</v>
          </cell>
          <cell r="C1475">
            <v>45689</v>
          </cell>
        </row>
        <row r="1476">
          <cell r="B1476">
            <v>45671</v>
          </cell>
          <cell r="C1476">
            <v>45689</v>
          </cell>
        </row>
        <row r="1477">
          <cell r="B1477">
            <v>45672</v>
          </cell>
          <cell r="C1477">
            <v>45689</v>
          </cell>
        </row>
        <row r="1478">
          <cell r="B1478">
            <v>45673</v>
          </cell>
          <cell r="C1478">
            <v>45689</v>
          </cell>
        </row>
        <row r="1479">
          <cell r="B1479">
            <v>45674</v>
          </cell>
          <cell r="C1479">
            <v>45689</v>
          </cell>
        </row>
        <row r="1480">
          <cell r="B1480">
            <v>45675</v>
          </cell>
          <cell r="C1480">
            <v>45717</v>
          </cell>
        </row>
        <row r="1481">
          <cell r="B1481">
            <v>45676</v>
          </cell>
          <cell r="C1481">
            <v>45717</v>
          </cell>
        </row>
        <row r="1482">
          <cell r="B1482">
            <v>45677</v>
          </cell>
          <cell r="C1482">
            <v>45717</v>
          </cell>
        </row>
        <row r="1483">
          <cell r="B1483">
            <v>45678</v>
          </cell>
          <cell r="C1483">
            <v>45717</v>
          </cell>
        </row>
        <row r="1484">
          <cell r="B1484">
            <v>45679</v>
          </cell>
          <cell r="C1484">
            <v>45717</v>
          </cell>
        </row>
        <row r="1485">
          <cell r="B1485">
            <v>45680</v>
          </cell>
          <cell r="C1485">
            <v>45717</v>
          </cell>
        </row>
        <row r="1486">
          <cell r="B1486">
            <v>45681</v>
          </cell>
          <cell r="C1486">
            <v>45717</v>
          </cell>
        </row>
        <row r="1487">
          <cell r="B1487">
            <v>45682</v>
          </cell>
          <cell r="C1487">
            <v>45717</v>
          </cell>
        </row>
        <row r="1488">
          <cell r="B1488">
            <v>45683</v>
          </cell>
          <cell r="C1488">
            <v>45717</v>
          </cell>
        </row>
        <row r="1489">
          <cell r="B1489">
            <v>45684</v>
          </cell>
          <cell r="C1489">
            <v>45717</v>
          </cell>
        </row>
        <row r="1490">
          <cell r="B1490">
            <v>45685</v>
          </cell>
          <cell r="C1490">
            <v>45717</v>
          </cell>
        </row>
        <row r="1491">
          <cell r="B1491">
            <v>45686</v>
          </cell>
          <cell r="C1491">
            <v>45717</v>
          </cell>
        </row>
        <row r="1492">
          <cell r="B1492">
            <v>45687</v>
          </cell>
          <cell r="C1492">
            <v>45717</v>
          </cell>
        </row>
        <row r="1493">
          <cell r="B1493">
            <v>45688</v>
          </cell>
          <cell r="C1493">
            <v>45717</v>
          </cell>
        </row>
        <row r="1494">
          <cell r="B1494">
            <v>45689</v>
          </cell>
          <cell r="C1494">
            <v>45717</v>
          </cell>
        </row>
        <row r="1495">
          <cell r="B1495">
            <v>45690</v>
          </cell>
          <cell r="C1495">
            <v>45717</v>
          </cell>
        </row>
        <row r="1496">
          <cell r="B1496">
            <v>45691</v>
          </cell>
          <cell r="C1496">
            <v>45717</v>
          </cell>
        </row>
        <row r="1497">
          <cell r="B1497">
            <v>45692</v>
          </cell>
          <cell r="C1497">
            <v>45717</v>
          </cell>
        </row>
        <row r="1498">
          <cell r="B1498">
            <v>45693</v>
          </cell>
          <cell r="C1498">
            <v>45717</v>
          </cell>
        </row>
        <row r="1499">
          <cell r="B1499">
            <v>45694</v>
          </cell>
          <cell r="C1499">
            <v>45717</v>
          </cell>
        </row>
        <row r="1500">
          <cell r="B1500">
            <v>45695</v>
          </cell>
          <cell r="C1500">
            <v>45717</v>
          </cell>
        </row>
        <row r="1501">
          <cell r="B1501">
            <v>45696</v>
          </cell>
          <cell r="C1501">
            <v>45717</v>
          </cell>
        </row>
        <row r="1502">
          <cell r="B1502">
            <v>45697</v>
          </cell>
          <cell r="C1502">
            <v>45717</v>
          </cell>
        </row>
        <row r="1503">
          <cell r="B1503">
            <v>45698</v>
          </cell>
          <cell r="C1503">
            <v>45717</v>
          </cell>
        </row>
        <row r="1504">
          <cell r="B1504">
            <v>45699</v>
          </cell>
          <cell r="C1504">
            <v>45717</v>
          </cell>
        </row>
        <row r="1505">
          <cell r="B1505">
            <v>45700</v>
          </cell>
          <cell r="C1505">
            <v>45717</v>
          </cell>
        </row>
        <row r="1506">
          <cell r="B1506">
            <v>45701</v>
          </cell>
          <cell r="C1506">
            <v>45717</v>
          </cell>
        </row>
        <row r="1507">
          <cell r="B1507">
            <v>45702</v>
          </cell>
          <cell r="C1507">
            <v>45717</v>
          </cell>
        </row>
        <row r="1508">
          <cell r="B1508">
            <v>45703</v>
          </cell>
          <cell r="C1508">
            <v>45717</v>
          </cell>
        </row>
        <row r="1509">
          <cell r="B1509">
            <v>45704</v>
          </cell>
          <cell r="C1509">
            <v>45717</v>
          </cell>
        </row>
        <row r="1510">
          <cell r="B1510">
            <v>45705</v>
          </cell>
          <cell r="C1510">
            <v>45717</v>
          </cell>
        </row>
        <row r="1511">
          <cell r="B1511">
            <v>45706</v>
          </cell>
          <cell r="C1511">
            <v>45748</v>
          </cell>
        </row>
        <row r="1512">
          <cell r="B1512">
            <v>45707</v>
          </cell>
          <cell r="C1512">
            <v>45748</v>
          </cell>
        </row>
        <row r="1513">
          <cell r="B1513">
            <v>45708</v>
          </cell>
          <cell r="C1513">
            <v>45748</v>
          </cell>
        </row>
        <row r="1514">
          <cell r="B1514">
            <v>45709</v>
          </cell>
          <cell r="C1514">
            <v>45748</v>
          </cell>
        </row>
        <row r="1515">
          <cell r="B1515">
            <v>45710</v>
          </cell>
          <cell r="C1515">
            <v>45748</v>
          </cell>
        </row>
        <row r="1516">
          <cell r="B1516">
            <v>45711</v>
          </cell>
          <cell r="C1516">
            <v>45748</v>
          </cell>
        </row>
        <row r="1517">
          <cell r="B1517">
            <v>45712</v>
          </cell>
          <cell r="C1517">
            <v>45748</v>
          </cell>
        </row>
        <row r="1518">
          <cell r="B1518">
            <v>45713</v>
          </cell>
          <cell r="C1518">
            <v>45748</v>
          </cell>
        </row>
        <row r="1519">
          <cell r="B1519">
            <v>45714</v>
          </cell>
          <cell r="C1519">
            <v>45748</v>
          </cell>
        </row>
        <row r="1520">
          <cell r="B1520">
            <v>45715</v>
          </cell>
          <cell r="C1520">
            <v>45748</v>
          </cell>
        </row>
        <row r="1521">
          <cell r="B1521">
            <v>45716</v>
          </cell>
          <cell r="C1521">
            <v>45748</v>
          </cell>
        </row>
        <row r="1522">
          <cell r="B1522">
            <v>45717</v>
          </cell>
          <cell r="C1522">
            <v>45748</v>
          </cell>
        </row>
        <row r="1523">
          <cell r="B1523">
            <v>45718</v>
          </cell>
          <cell r="C1523">
            <v>45748</v>
          </cell>
        </row>
        <row r="1524">
          <cell r="B1524">
            <v>45719</v>
          </cell>
          <cell r="C1524">
            <v>45748</v>
          </cell>
        </row>
        <row r="1525">
          <cell r="B1525">
            <v>45720</v>
          </cell>
          <cell r="C1525">
            <v>45748</v>
          </cell>
        </row>
        <row r="1526">
          <cell r="B1526">
            <v>45721</v>
          </cell>
          <cell r="C1526">
            <v>45748</v>
          </cell>
        </row>
        <row r="1527">
          <cell r="B1527">
            <v>45722</v>
          </cell>
          <cell r="C1527">
            <v>45748</v>
          </cell>
        </row>
        <row r="1528">
          <cell r="B1528">
            <v>45723</v>
          </cell>
          <cell r="C1528">
            <v>45748</v>
          </cell>
        </row>
        <row r="1529">
          <cell r="B1529">
            <v>45724</v>
          </cell>
          <cell r="C1529">
            <v>45748</v>
          </cell>
        </row>
        <row r="1530">
          <cell r="B1530">
            <v>45725</v>
          </cell>
          <cell r="C1530">
            <v>45748</v>
          </cell>
        </row>
        <row r="1531">
          <cell r="B1531">
            <v>45726</v>
          </cell>
          <cell r="C1531">
            <v>45748</v>
          </cell>
        </row>
        <row r="1532">
          <cell r="B1532">
            <v>45727</v>
          </cell>
          <cell r="C1532">
            <v>45748</v>
          </cell>
        </row>
        <row r="1533">
          <cell r="B1533">
            <v>45728</v>
          </cell>
          <cell r="C1533">
            <v>45748</v>
          </cell>
        </row>
        <row r="1534">
          <cell r="B1534">
            <v>45729</v>
          </cell>
          <cell r="C1534">
            <v>45748</v>
          </cell>
        </row>
        <row r="1535">
          <cell r="B1535">
            <v>45730</v>
          </cell>
          <cell r="C1535">
            <v>45748</v>
          </cell>
        </row>
        <row r="1536">
          <cell r="B1536">
            <v>45731</v>
          </cell>
          <cell r="C1536">
            <v>45748</v>
          </cell>
        </row>
        <row r="1537">
          <cell r="B1537">
            <v>45732</v>
          </cell>
          <cell r="C1537">
            <v>45748</v>
          </cell>
        </row>
        <row r="1538">
          <cell r="B1538">
            <v>45733</v>
          </cell>
          <cell r="C1538">
            <v>45748</v>
          </cell>
        </row>
        <row r="1539">
          <cell r="B1539">
            <v>45734</v>
          </cell>
          <cell r="C1539">
            <v>45778</v>
          </cell>
        </row>
        <row r="1540">
          <cell r="B1540">
            <v>45735</v>
          </cell>
          <cell r="C1540">
            <v>45778</v>
          </cell>
        </row>
        <row r="1541">
          <cell r="B1541">
            <v>45736</v>
          </cell>
          <cell r="C1541">
            <v>45778</v>
          </cell>
        </row>
        <row r="1542">
          <cell r="B1542">
            <v>45737</v>
          </cell>
          <cell r="C1542">
            <v>45778</v>
          </cell>
        </row>
        <row r="1543">
          <cell r="B1543">
            <v>45738</v>
          </cell>
          <cell r="C1543">
            <v>45778</v>
          </cell>
        </row>
        <row r="1544">
          <cell r="B1544">
            <v>45739</v>
          </cell>
          <cell r="C1544">
            <v>45778</v>
          </cell>
        </row>
        <row r="1545">
          <cell r="B1545">
            <v>45740</v>
          </cell>
          <cell r="C1545">
            <v>45778</v>
          </cell>
        </row>
        <row r="1546">
          <cell r="B1546">
            <v>45741</v>
          </cell>
          <cell r="C1546">
            <v>45778</v>
          </cell>
        </row>
        <row r="1547">
          <cell r="B1547">
            <v>45742</v>
          </cell>
          <cell r="C1547">
            <v>45778</v>
          </cell>
        </row>
        <row r="1548">
          <cell r="B1548">
            <v>45743</v>
          </cell>
          <cell r="C1548">
            <v>45778</v>
          </cell>
        </row>
        <row r="1549">
          <cell r="B1549">
            <v>45744</v>
          </cell>
          <cell r="C1549">
            <v>45778</v>
          </cell>
        </row>
        <row r="1550">
          <cell r="B1550">
            <v>45745</v>
          </cell>
          <cell r="C1550">
            <v>45778</v>
          </cell>
        </row>
        <row r="1551">
          <cell r="B1551">
            <v>45746</v>
          </cell>
          <cell r="C1551">
            <v>45778</v>
          </cell>
        </row>
        <row r="1552">
          <cell r="B1552">
            <v>45747</v>
          </cell>
          <cell r="C1552">
            <v>45778</v>
          </cell>
        </row>
        <row r="1553">
          <cell r="B1553">
            <v>45748</v>
          </cell>
          <cell r="C1553">
            <v>45778</v>
          </cell>
        </row>
        <row r="1554">
          <cell r="B1554">
            <v>45749</v>
          </cell>
          <cell r="C1554">
            <v>45778</v>
          </cell>
        </row>
        <row r="1555">
          <cell r="B1555">
            <v>45750</v>
          </cell>
          <cell r="C1555">
            <v>45778</v>
          </cell>
        </row>
        <row r="1556">
          <cell r="B1556">
            <v>45751</v>
          </cell>
          <cell r="C1556">
            <v>45778</v>
          </cell>
        </row>
        <row r="1557">
          <cell r="B1557">
            <v>45752</v>
          </cell>
          <cell r="C1557">
            <v>45778</v>
          </cell>
        </row>
        <row r="1558">
          <cell r="B1558">
            <v>45753</v>
          </cell>
          <cell r="C1558">
            <v>45778</v>
          </cell>
        </row>
        <row r="1559">
          <cell r="B1559">
            <v>45754</v>
          </cell>
          <cell r="C1559">
            <v>45778</v>
          </cell>
        </row>
        <row r="1560">
          <cell r="B1560">
            <v>45755</v>
          </cell>
          <cell r="C1560">
            <v>45778</v>
          </cell>
        </row>
        <row r="1561">
          <cell r="B1561">
            <v>45756</v>
          </cell>
          <cell r="C1561">
            <v>45778</v>
          </cell>
        </row>
        <row r="1562">
          <cell r="B1562">
            <v>45757</v>
          </cell>
          <cell r="C1562">
            <v>45778</v>
          </cell>
        </row>
        <row r="1563">
          <cell r="B1563">
            <v>45758</v>
          </cell>
          <cell r="C1563">
            <v>45778</v>
          </cell>
        </row>
        <row r="1564">
          <cell r="B1564">
            <v>45759</v>
          </cell>
          <cell r="C1564">
            <v>45778</v>
          </cell>
        </row>
        <row r="1565">
          <cell r="B1565">
            <v>45760</v>
          </cell>
          <cell r="C1565">
            <v>45778</v>
          </cell>
        </row>
        <row r="1566">
          <cell r="B1566">
            <v>45761</v>
          </cell>
          <cell r="C1566">
            <v>45778</v>
          </cell>
        </row>
        <row r="1567">
          <cell r="B1567">
            <v>45762</v>
          </cell>
          <cell r="C1567">
            <v>45778</v>
          </cell>
        </row>
        <row r="1568">
          <cell r="B1568">
            <v>45763</v>
          </cell>
          <cell r="C1568">
            <v>45778</v>
          </cell>
        </row>
        <row r="1569">
          <cell r="B1569">
            <v>45764</v>
          </cell>
          <cell r="C1569">
            <v>45778</v>
          </cell>
        </row>
        <row r="1570">
          <cell r="B1570">
            <v>45765</v>
          </cell>
          <cell r="C1570">
            <v>45809</v>
          </cell>
        </row>
        <row r="1571">
          <cell r="B1571">
            <v>45766</v>
          </cell>
          <cell r="C1571">
            <v>45809</v>
          </cell>
        </row>
        <row r="1572">
          <cell r="B1572">
            <v>45767</v>
          </cell>
          <cell r="C1572">
            <v>45809</v>
          </cell>
        </row>
        <row r="1573">
          <cell r="B1573">
            <v>45768</v>
          </cell>
          <cell r="C1573">
            <v>45809</v>
          </cell>
        </row>
        <row r="1574">
          <cell r="B1574">
            <v>45769</v>
          </cell>
          <cell r="C1574">
            <v>45809</v>
          </cell>
        </row>
        <row r="1575">
          <cell r="B1575">
            <v>45770</v>
          </cell>
          <cell r="C1575">
            <v>45809</v>
          </cell>
        </row>
        <row r="1576">
          <cell r="B1576">
            <v>45771</v>
          </cell>
          <cell r="C1576">
            <v>45809</v>
          </cell>
        </row>
        <row r="1577">
          <cell r="B1577">
            <v>45772</v>
          </cell>
          <cell r="C1577">
            <v>45809</v>
          </cell>
        </row>
        <row r="1578">
          <cell r="B1578">
            <v>45773</v>
          </cell>
          <cell r="C1578">
            <v>45809</v>
          </cell>
        </row>
        <row r="1579">
          <cell r="B1579">
            <v>45774</v>
          </cell>
          <cell r="C1579">
            <v>45809</v>
          </cell>
        </row>
        <row r="1580">
          <cell r="B1580">
            <v>45775</v>
          </cell>
          <cell r="C1580">
            <v>45809</v>
          </cell>
        </row>
        <row r="1581">
          <cell r="B1581">
            <v>45776</v>
          </cell>
          <cell r="C1581">
            <v>45809</v>
          </cell>
        </row>
        <row r="1582">
          <cell r="B1582">
            <v>45777</v>
          </cell>
          <cell r="C1582">
            <v>45809</v>
          </cell>
        </row>
        <row r="1583">
          <cell r="B1583">
            <v>45778</v>
          </cell>
          <cell r="C1583">
            <v>45809</v>
          </cell>
        </row>
        <row r="1584">
          <cell r="B1584">
            <v>45779</v>
          </cell>
          <cell r="C1584">
            <v>45809</v>
          </cell>
        </row>
        <row r="1585">
          <cell r="B1585">
            <v>45780</v>
          </cell>
          <cell r="C1585">
            <v>45809</v>
          </cell>
        </row>
        <row r="1586">
          <cell r="B1586">
            <v>45781</v>
          </cell>
          <cell r="C1586">
            <v>45809</v>
          </cell>
        </row>
        <row r="1587">
          <cell r="B1587">
            <v>45782</v>
          </cell>
          <cell r="C1587">
            <v>45809</v>
          </cell>
        </row>
        <row r="1588">
          <cell r="B1588">
            <v>45783</v>
          </cell>
          <cell r="C1588">
            <v>45809</v>
          </cell>
        </row>
        <row r="1589">
          <cell r="B1589">
            <v>45784</v>
          </cell>
          <cell r="C1589">
            <v>45809</v>
          </cell>
        </row>
        <row r="1590">
          <cell r="B1590">
            <v>45785</v>
          </cell>
          <cell r="C1590">
            <v>45809</v>
          </cell>
        </row>
        <row r="1591">
          <cell r="B1591">
            <v>45786</v>
          </cell>
          <cell r="C1591">
            <v>45809</v>
          </cell>
        </row>
        <row r="1592">
          <cell r="B1592">
            <v>45787</v>
          </cell>
          <cell r="C1592">
            <v>45809</v>
          </cell>
        </row>
        <row r="1593">
          <cell r="B1593">
            <v>45788</v>
          </cell>
          <cell r="C1593">
            <v>45809</v>
          </cell>
        </row>
        <row r="1594">
          <cell r="B1594">
            <v>45789</v>
          </cell>
          <cell r="C1594">
            <v>45809</v>
          </cell>
        </row>
        <row r="1595">
          <cell r="B1595">
            <v>45790</v>
          </cell>
          <cell r="C1595">
            <v>45809</v>
          </cell>
        </row>
        <row r="1596">
          <cell r="B1596">
            <v>45791</v>
          </cell>
          <cell r="C1596">
            <v>45809</v>
          </cell>
        </row>
        <row r="1597">
          <cell r="B1597">
            <v>45792</v>
          </cell>
          <cell r="C1597">
            <v>45809</v>
          </cell>
        </row>
        <row r="1598">
          <cell r="B1598">
            <v>45793</v>
          </cell>
          <cell r="C1598">
            <v>45809</v>
          </cell>
        </row>
        <row r="1599">
          <cell r="B1599">
            <v>45794</v>
          </cell>
          <cell r="C1599">
            <v>45809</v>
          </cell>
        </row>
        <row r="1600">
          <cell r="B1600">
            <v>45795</v>
          </cell>
        </row>
        <row r="1601">
          <cell r="B1601">
            <v>45796</v>
          </cell>
        </row>
        <row r="1602">
          <cell r="B1602">
            <v>45797</v>
          </cell>
        </row>
        <row r="1603">
          <cell r="B1603">
            <v>45798</v>
          </cell>
        </row>
        <row r="1604">
          <cell r="B1604">
            <v>45799</v>
          </cell>
        </row>
        <row r="1605">
          <cell r="B1605">
            <v>45800</v>
          </cell>
        </row>
        <row r="1606">
          <cell r="B1606">
            <v>45801</v>
          </cell>
        </row>
        <row r="1607">
          <cell r="B1607">
            <v>45802</v>
          </cell>
        </row>
        <row r="1608">
          <cell r="B1608">
            <v>45803</v>
          </cell>
        </row>
        <row r="1609">
          <cell r="B1609">
            <v>45804</v>
          </cell>
        </row>
        <row r="1610">
          <cell r="B1610">
            <v>45805</v>
          </cell>
        </row>
        <row r="1611">
          <cell r="B1611">
            <v>45806</v>
          </cell>
        </row>
        <row r="1612">
          <cell r="B1612">
            <v>45807</v>
          </cell>
        </row>
        <row r="1613">
          <cell r="B1613">
            <v>45808</v>
          </cell>
        </row>
        <row r="1614">
          <cell r="B1614">
            <v>45809</v>
          </cell>
        </row>
        <row r="1615">
          <cell r="B1615">
            <v>45810</v>
          </cell>
        </row>
        <row r="1616">
          <cell r="B1616">
            <v>45811</v>
          </cell>
        </row>
        <row r="1617">
          <cell r="B1617">
            <v>45812</v>
          </cell>
        </row>
        <row r="1618">
          <cell r="B1618">
            <v>45813</v>
          </cell>
        </row>
        <row r="1619">
          <cell r="B1619">
            <v>45814</v>
          </cell>
        </row>
        <row r="1620">
          <cell r="B1620">
            <v>45815</v>
          </cell>
        </row>
        <row r="1621">
          <cell r="B1621">
            <v>45816</v>
          </cell>
        </row>
        <row r="1622">
          <cell r="B1622">
            <v>45817</v>
          </cell>
        </row>
        <row r="1623">
          <cell r="B1623">
            <v>45818</v>
          </cell>
        </row>
        <row r="1624">
          <cell r="B1624">
            <v>45819</v>
          </cell>
        </row>
        <row r="1625">
          <cell r="B1625">
            <v>45820</v>
          </cell>
        </row>
        <row r="1626">
          <cell r="B1626">
            <v>45821</v>
          </cell>
        </row>
        <row r="1627">
          <cell r="B1627">
            <v>45822</v>
          </cell>
        </row>
        <row r="1628">
          <cell r="B1628">
            <v>45823</v>
          </cell>
        </row>
        <row r="1629">
          <cell r="B1629">
            <v>45824</v>
          </cell>
        </row>
        <row r="1630">
          <cell r="B1630">
            <v>45825</v>
          </cell>
        </row>
        <row r="1631">
          <cell r="B1631">
            <v>45826</v>
          </cell>
        </row>
        <row r="1632">
          <cell r="B1632">
            <v>45827</v>
          </cell>
        </row>
        <row r="1633">
          <cell r="B1633">
            <v>45828</v>
          </cell>
        </row>
        <row r="1634">
          <cell r="B1634">
            <v>45829</v>
          </cell>
        </row>
        <row r="1635">
          <cell r="B1635">
            <v>45830</v>
          </cell>
        </row>
        <row r="1636">
          <cell r="B1636">
            <v>45831</v>
          </cell>
        </row>
        <row r="1637">
          <cell r="B1637">
            <v>45832</v>
          </cell>
        </row>
        <row r="1638">
          <cell r="B1638">
            <v>45833</v>
          </cell>
        </row>
        <row r="1639">
          <cell r="B1639">
            <v>45834</v>
          </cell>
        </row>
        <row r="1640">
          <cell r="B1640">
            <v>45835</v>
          </cell>
        </row>
        <row r="1641">
          <cell r="B1641">
            <v>45836</v>
          </cell>
        </row>
        <row r="1642">
          <cell r="B1642">
            <v>45837</v>
          </cell>
        </row>
        <row r="1643">
          <cell r="B1643">
            <v>45838</v>
          </cell>
        </row>
        <row r="1644">
          <cell r="B1644">
            <v>45839</v>
          </cell>
        </row>
        <row r="1645">
          <cell r="B1645">
            <v>45840</v>
          </cell>
        </row>
        <row r="1646">
          <cell r="B1646">
            <v>45841</v>
          </cell>
        </row>
        <row r="1647">
          <cell r="B1647">
            <v>45842</v>
          </cell>
        </row>
        <row r="1648">
          <cell r="B1648">
            <v>45843</v>
          </cell>
        </row>
        <row r="1649">
          <cell r="B1649">
            <v>45844</v>
          </cell>
        </row>
        <row r="1650">
          <cell r="B1650">
            <v>45845</v>
          </cell>
        </row>
        <row r="1651">
          <cell r="B1651">
            <v>45846</v>
          </cell>
        </row>
        <row r="1652">
          <cell r="B1652">
            <v>45847</v>
          </cell>
        </row>
        <row r="1653">
          <cell r="B1653">
            <v>45848</v>
          </cell>
        </row>
        <row r="1654">
          <cell r="B1654">
            <v>45849</v>
          </cell>
        </row>
        <row r="1655">
          <cell r="B1655">
            <v>45850</v>
          </cell>
        </row>
        <row r="1656">
          <cell r="B1656">
            <v>45851</v>
          </cell>
        </row>
        <row r="1657">
          <cell r="B1657">
            <v>45852</v>
          </cell>
        </row>
        <row r="1658">
          <cell r="B1658">
            <v>45853</v>
          </cell>
        </row>
        <row r="1659">
          <cell r="B1659">
            <v>45854</v>
          </cell>
        </row>
        <row r="1660">
          <cell r="B1660">
            <v>45855</v>
          </cell>
        </row>
        <row r="1661">
          <cell r="B1661">
            <v>45856</v>
          </cell>
        </row>
        <row r="1662">
          <cell r="B1662">
            <v>45857</v>
          </cell>
        </row>
        <row r="1663">
          <cell r="B1663">
            <v>45858</v>
          </cell>
        </row>
        <row r="1664">
          <cell r="B1664">
            <v>45859</v>
          </cell>
        </row>
        <row r="1665">
          <cell r="B1665">
            <v>45860</v>
          </cell>
        </row>
        <row r="1666">
          <cell r="B1666">
            <v>45861</v>
          </cell>
        </row>
        <row r="1667">
          <cell r="B1667">
            <v>45862</v>
          </cell>
        </row>
        <row r="1668">
          <cell r="B1668">
            <v>45863</v>
          </cell>
        </row>
        <row r="1669">
          <cell r="B1669">
            <v>45864</v>
          </cell>
        </row>
        <row r="1670">
          <cell r="B1670">
            <v>45865</v>
          </cell>
        </row>
        <row r="1671">
          <cell r="B1671">
            <v>45866</v>
          </cell>
        </row>
        <row r="1672">
          <cell r="B1672">
            <v>45867</v>
          </cell>
        </row>
        <row r="1673">
          <cell r="B1673">
            <v>45868</v>
          </cell>
        </row>
        <row r="1674">
          <cell r="B1674">
            <v>45869</v>
          </cell>
        </row>
        <row r="1675">
          <cell r="B1675">
            <v>45870</v>
          </cell>
        </row>
        <row r="1676">
          <cell r="B1676">
            <v>45871</v>
          </cell>
        </row>
        <row r="1677">
          <cell r="B1677">
            <v>45872</v>
          </cell>
        </row>
        <row r="1678">
          <cell r="B1678">
            <v>45873</v>
          </cell>
        </row>
        <row r="1679">
          <cell r="B1679">
            <v>45874</v>
          </cell>
        </row>
        <row r="1680">
          <cell r="B1680">
            <v>45875</v>
          </cell>
        </row>
        <row r="1681">
          <cell r="B1681">
            <v>45876</v>
          </cell>
        </row>
        <row r="1682">
          <cell r="B1682">
            <v>45877</v>
          </cell>
        </row>
        <row r="1683">
          <cell r="B1683">
            <v>45878</v>
          </cell>
        </row>
        <row r="1684">
          <cell r="B1684">
            <v>45879</v>
          </cell>
        </row>
        <row r="1685">
          <cell r="B1685">
            <v>45880</v>
          </cell>
        </row>
        <row r="1686">
          <cell r="B1686">
            <v>45881</v>
          </cell>
        </row>
        <row r="1687">
          <cell r="B1687">
            <v>45882</v>
          </cell>
        </row>
        <row r="1688">
          <cell r="B1688">
            <v>45883</v>
          </cell>
        </row>
        <row r="1689">
          <cell r="B1689">
            <v>45884</v>
          </cell>
        </row>
        <row r="1690">
          <cell r="B1690">
            <v>45885</v>
          </cell>
        </row>
        <row r="1691">
          <cell r="B1691">
            <v>45886</v>
          </cell>
        </row>
        <row r="1692">
          <cell r="B1692">
            <v>45887</v>
          </cell>
        </row>
        <row r="1693">
          <cell r="B1693">
            <v>45888</v>
          </cell>
        </row>
        <row r="1694">
          <cell r="B1694">
            <v>45889</v>
          </cell>
        </row>
        <row r="1695">
          <cell r="B1695">
            <v>45890</v>
          </cell>
        </row>
        <row r="1696">
          <cell r="B1696">
            <v>45891</v>
          </cell>
        </row>
        <row r="1697">
          <cell r="B1697">
            <v>45892</v>
          </cell>
        </row>
        <row r="1698">
          <cell r="B1698">
            <v>45893</v>
          </cell>
        </row>
        <row r="1699">
          <cell r="B1699">
            <v>45894</v>
          </cell>
        </row>
        <row r="1700">
          <cell r="B1700">
            <v>45895</v>
          </cell>
        </row>
        <row r="1701">
          <cell r="B1701">
            <v>45896</v>
          </cell>
        </row>
        <row r="1702">
          <cell r="B1702">
            <v>45897</v>
          </cell>
        </row>
        <row r="1703">
          <cell r="B1703">
            <v>45898</v>
          </cell>
        </row>
        <row r="1704">
          <cell r="B1704">
            <v>45899</v>
          </cell>
        </row>
        <row r="1705">
          <cell r="B1705">
            <v>45900</v>
          </cell>
        </row>
        <row r="1706">
          <cell r="B1706">
            <v>45901</v>
          </cell>
        </row>
        <row r="1707">
          <cell r="B1707">
            <v>45902</v>
          </cell>
        </row>
        <row r="1708">
          <cell r="B1708">
            <v>45903</v>
          </cell>
        </row>
        <row r="1709">
          <cell r="B1709">
            <v>45904</v>
          </cell>
        </row>
        <row r="1710">
          <cell r="B1710">
            <v>45905</v>
          </cell>
        </row>
        <row r="1711">
          <cell r="B1711">
            <v>45906</v>
          </cell>
        </row>
        <row r="1712">
          <cell r="B1712">
            <v>45907</v>
          </cell>
        </row>
        <row r="1713">
          <cell r="B1713">
            <v>45908</v>
          </cell>
        </row>
        <row r="1714">
          <cell r="B1714">
            <v>45909</v>
          </cell>
        </row>
        <row r="1715">
          <cell r="B1715">
            <v>45910</v>
          </cell>
        </row>
        <row r="1716">
          <cell r="B1716">
            <v>45911</v>
          </cell>
        </row>
        <row r="1717">
          <cell r="B1717">
            <v>45912</v>
          </cell>
        </row>
        <row r="1718">
          <cell r="B1718">
            <v>45913</v>
          </cell>
        </row>
        <row r="1719">
          <cell r="B1719">
            <v>45914</v>
          </cell>
        </row>
        <row r="1720">
          <cell r="B1720">
            <v>45915</v>
          </cell>
        </row>
        <row r="1721">
          <cell r="B1721">
            <v>45916</v>
          </cell>
        </row>
        <row r="1722">
          <cell r="B1722">
            <v>45917</v>
          </cell>
        </row>
        <row r="1723">
          <cell r="B1723">
            <v>45918</v>
          </cell>
        </row>
        <row r="1724">
          <cell r="B1724">
            <v>45919</v>
          </cell>
        </row>
        <row r="1725">
          <cell r="B1725">
            <v>45920</v>
          </cell>
        </row>
        <row r="1726">
          <cell r="B1726">
            <v>45921</v>
          </cell>
        </row>
        <row r="1727">
          <cell r="B1727">
            <v>45922</v>
          </cell>
        </row>
        <row r="1728">
          <cell r="B1728">
            <v>45923</v>
          </cell>
        </row>
        <row r="1729">
          <cell r="B1729">
            <v>45924</v>
          </cell>
        </row>
        <row r="1730">
          <cell r="B1730">
            <v>45925</v>
          </cell>
        </row>
        <row r="1731">
          <cell r="B1731">
            <v>45926</v>
          </cell>
        </row>
        <row r="1732">
          <cell r="B1732">
            <v>45927</v>
          </cell>
        </row>
        <row r="1733">
          <cell r="B1733">
            <v>45928</v>
          </cell>
        </row>
        <row r="1734">
          <cell r="B1734">
            <v>45929</v>
          </cell>
        </row>
        <row r="1735">
          <cell r="B1735">
            <v>45930</v>
          </cell>
        </row>
        <row r="1736">
          <cell r="B1736">
            <v>45931</v>
          </cell>
        </row>
        <row r="1737">
          <cell r="B1737">
            <v>45932</v>
          </cell>
        </row>
        <row r="1738">
          <cell r="B1738">
            <v>45933</v>
          </cell>
        </row>
        <row r="1739">
          <cell r="B1739">
            <v>45934</v>
          </cell>
        </row>
        <row r="1740">
          <cell r="B1740">
            <v>45935</v>
          </cell>
        </row>
        <row r="1741">
          <cell r="B1741">
            <v>45936</v>
          </cell>
        </row>
        <row r="1742">
          <cell r="B1742">
            <v>45937</v>
          </cell>
        </row>
        <row r="1743">
          <cell r="B1743">
            <v>45938</v>
          </cell>
        </row>
        <row r="1744">
          <cell r="B1744">
            <v>45939</v>
          </cell>
        </row>
        <row r="1745">
          <cell r="B1745">
            <v>45940</v>
          </cell>
        </row>
        <row r="1746">
          <cell r="B1746">
            <v>45941</v>
          </cell>
        </row>
        <row r="1747">
          <cell r="B1747">
            <v>45942</v>
          </cell>
        </row>
        <row r="1748">
          <cell r="B1748">
            <v>45943</v>
          </cell>
        </row>
        <row r="1749">
          <cell r="B1749">
            <v>45944</v>
          </cell>
        </row>
        <row r="1750">
          <cell r="B1750">
            <v>45945</v>
          </cell>
        </row>
        <row r="1751">
          <cell r="B1751">
            <v>45946</v>
          </cell>
        </row>
        <row r="1752">
          <cell r="B1752">
            <v>45947</v>
          </cell>
        </row>
        <row r="1753">
          <cell r="B1753">
            <v>45948</v>
          </cell>
        </row>
        <row r="1754">
          <cell r="B1754">
            <v>45949</v>
          </cell>
        </row>
        <row r="1755">
          <cell r="B1755">
            <v>45950</v>
          </cell>
        </row>
        <row r="1756">
          <cell r="B1756">
            <v>45951</v>
          </cell>
        </row>
        <row r="1757">
          <cell r="B1757">
            <v>45952</v>
          </cell>
        </row>
        <row r="1758">
          <cell r="B1758">
            <v>45953</v>
          </cell>
        </row>
        <row r="1759">
          <cell r="B1759">
            <v>45954</v>
          </cell>
        </row>
        <row r="1760">
          <cell r="B1760">
            <v>45955</v>
          </cell>
        </row>
        <row r="1761">
          <cell r="B1761">
            <v>45956</v>
          </cell>
        </row>
        <row r="1762">
          <cell r="B1762">
            <v>45957</v>
          </cell>
        </row>
        <row r="1763">
          <cell r="B1763">
            <v>45958</v>
          </cell>
        </row>
        <row r="1764">
          <cell r="B1764">
            <v>45959</v>
          </cell>
        </row>
        <row r="1765">
          <cell r="B1765">
            <v>45960</v>
          </cell>
        </row>
        <row r="1766">
          <cell r="B1766">
            <v>45961</v>
          </cell>
        </row>
        <row r="1767">
          <cell r="B1767">
            <v>45962</v>
          </cell>
        </row>
        <row r="1768">
          <cell r="B1768">
            <v>45963</v>
          </cell>
        </row>
        <row r="1769">
          <cell r="B1769">
            <v>45964</v>
          </cell>
        </row>
        <row r="1770">
          <cell r="B1770">
            <v>45965</v>
          </cell>
        </row>
        <row r="1771">
          <cell r="B1771">
            <v>45966</v>
          </cell>
        </row>
        <row r="1772">
          <cell r="B1772">
            <v>45967</v>
          </cell>
        </row>
        <row r="1773">
          <cell r="B1773">
            <v>45968</v>
          </cell>
        </row>
        <row r="1774">
          <cell r="B1774">
            <v>45969</v>
          </cell>
        </row>
        <row r="1775">
          <cell r="B1775">
            <v>45970</v>
          </cell>
        </row>
        <row r="1776">
          <cell r="B1776">
            <v>45971</v>
          </cell>
        </row>
        <row r="1777">
          <cell r="B1777">
            <v>45972</v>
          </cell>
        </row>
        <row r="1778">
          <cell r="B1778">
            <v>45973</v>
          </cell>
        </row>
        <row r="1779">
          <cell r="B1779">
            <v>45974</v>
          </cell>
        </row>
        <row r="1780">
          <cell r="B1780">
            <v>45975</v>
          </cell>
        </row>
        <row r="1781">
          <cell r="B1781">
            <v>45976</v>
          </cell>
        </row>
        <row r="1782">
          <cell r="B1782">
            <v>45977</v>
          </cell>
        </row>
        <row r="1783">
          <cell r="B1783">
            <v>45978</v>
          </cell>
        </row>
        <row r="1784">
          <cell r="B1784">
            <v>45979</v>
          </cell>
        </row>
        <row r="1785">
          <cell r="B1785">
            <v>45980</v>
          </cell>
        </row>
        <row r="1786">
          <cell r="B1786">
            <v>45981</v>
          </cell>
        </row>
        <row r="1787">
          <cell r="B1787">
            <v>45982</v>
          </cell>
        </row>
        <row r="1788">
          <cell r="B1788">
            <v>45983</v>
          </cell>
        </row>
        <row r="1789">
          <cell r="B1789">
            <v>45984</v>
          </cell>
        </row>
        <row r="1790">
          <cell r="B1790">
            <v>45985</v>
          </cell>
        </row>
        <row r="1791">
          <cell r="B1791">
            <v>45986</v>
          </cell>
        </row>
        <row r="1792">
          <cell r="B1792">
            <v>45987</v>
          </cell>
        </row>
        <row r="1793">
          <cell r="B1793">
            <v>45988</v>
          </cell>
        </row>
        <row r="1794">
          <cell r="B1794">
            <v>45989</v>
          </cell>
        </row>
        <row r="1795">
          <cell r="B1795">
            <v>45990</v>
          </cell>
        </row>
        <row r="1796">
          <cell r="B1796">
            <v>45991</v>
          </cell>
        </row>
        <row r="1797">
          <cell r="B1797">
            <v>45992</v>
          </cell>
        </row>
        <row r="1798">
          <cell r="B1798">
            <v>45993</v>
          </cell>
        </row>
        <row r="1799">
          <cell r="B1799">
            <v>45994</v>
          </cell>
        </row>
        <row r="1800">
          <cell r="B1800">
            <v>45995</v>
          </cell>
        </row>
        <row r="1801">
          <cell r="B1801">
            <v>45996</v>
          </cell>
        </row>
        <row r="1802">
          <cell r="B1802">
            <v>45997</v>
          </cell>
        </row>
        <row r="1803">
          <cell r="B1803">
            <v>45998</v>
          </cell>
        </row>
        <row r="1804">
          <cell r="B1804">
            <v>45999</v>
          </cell>
        </row>
        <row r="1805">
          <cell r="B1805">
            <v>46000</v>
          </cell>
        </row>
        <row r="1806">
          <cell r="B1806">
            <v>46001</v>
          </cell>
        </row>
        <row r="1807">
          <cell r="B1807">
            <v>46002</v>
          </cell>
        </row>
        <row r="1808">
          <cell r="B1808">
            <v>46003</v>
          </cell>
        </row>
        <row r="1809">
          <cell r="B1809">
            <v>46004</v>
          </cell>
        </row>
        <row r="1810">
          <cell r="B1810">
            <v>46005</v>
          </cell>
        </row>
        <row r="1811">
          <cell r="B1811">
            <v>46006</v>
          </cell>
        </row>
        <row r="1812">
          <cell r="B1812">
            <v>46007</v>
          </cell>
        </row>
        <row r="1813">
          <cell r="B1813">
            <v>46008</v>
          </cell>
        </row>
        <row r="1814">
          <cell r="B1814">
            <v>46009</v>
          </cell>
        </row>
        <row r="1815">
          <cell r="B1815">
            <v>46010</v>
          </cell>
        </row>
        <row r="1816">
          <cell r="B1816">
            <v>46011</v>
          </cell>
        </row>
        <row r="1817">
          <cell r="B1817">
            <v>46012</v>
          </cell>
        </row>
        <row r="1818">
          <cell r="B1818">
            <v>46013</v>
          </cell>
        </row>
        <row r="1819">
          <cell r="B1819">
            <v>46014</v>
          </cell>
        </row>
        <row r="1820">
          <cell r="B1820">
            <v>46015</v>
          </cell>
        </row>
        <row r="1821">
          <cell r="B1821">
            <v>46016</v>
          </cell>
        </row>
        <row r="1822">
          <cell r="B1822">
            <v>46017</v>
          </cell>
        </row>
        <row r="1823">
          <cell r="B1823">
            <v>46018</v>
          </cell>
        </row>
        <row r="1824">
          <cell r="B1824">
            <v>46019</v>
          </cell>
        </row>
        <row r="1825">
          <cell r="B1825">
            <v>46020</v>
          </cell>
        </row>
        <row r="1826">
          <cell r="B1826">
            <v>46021</v>
          </cell>
        </row>
        <row r="1827">
          <cell r="B1827">
            <v>46022</v>
          </cell>
        </row>
        <row r="1828">
          <cell r="B1828">
            <v>46023</v>
          </cell>
        </row>
        <row r="1829">
          <cell r="B1829">
            <v>46024</v>
          </cell>
        </row>
        <row r="1830">
          <cell r="B1830">
            <v>46025</v>
          </cell>
        </row>
        <row r="1831">
          <cell r="B1831">
            <v>46026</v>
          </cell>
        </row>
        <row r="1832">
          <cell r="B1832">
            <v>46027</v>
          </cell>
        </row>
        <row r="1833">
          <cell r="B1833">
            <v>46028</v>
          </cell>
        </row>
        <row r="1834">
          <cell r="B1834">
            <v>46029</v>
          </cell>
        </row>
        <row r="1835">
          <cell r="B1835">
            <v>46030</v>
          </cell>
        </row>
        <row r="1836">
          <cell r="B1836">
            <v>46031</v>
          </cell>
        </row>
        <row r="1837">
          <cell r="B1837">
            <v>46032</v>
          </cell>
        </row>
        <row r="1838">
          <cell r="B1838">
            <v>46033</v>
          </cell>
        </row>
        <row r="1839">
          <cell r="B1839">
            <v>46034</v>
          </cell>
        </row>
        <row r="1840">
          <cell r="B1840">
            <v>46035</v>
          </cell>
        </row>
        <row r="1841">
          <cell r="B1841">
            <v>46036</v>
          </cell>
        </row>
        <row r="1842">
          <cell r="B1842">
            <v>46037</v>
          </cell>
        </row>
        <row r="1843">
          <cell r="B1843">
            <v>46038</v>
          </cell>
        </row>
        <row r="1844">
          <cell r="B1844">
            <v>46039</v>
          </cell>
        </row>
        <row r="1845">
          <cell r="B1845">
            <v>46040</v>
          </cell>
        </row>
        <row r="1846">
          <cell r="B1846">
            <v>46041</v>
          </cell>
        </row>
        <row r="1847">
          <cell r="B1847">
            <v>46042</v>
          </cell>
        </row>
        <row r="1848">
          <cell r="B1848">
            <v>46043</v>
          </cell>
        </row>
        <row r="1849">
          <cell r="B1849">
            <v>46044</v>
          </cell>
        </row>
        <row r="1850">
          <cell r="B1850">
            <v>46045</v>
          </cell>
        </row>
        <row r="1851">
          <cell r="B1851">
            <v>46046</v>
          </cell>
        </row>
        <row r="1852">
          <cell r="B1852">
            <v>46047</v>
          </cell>
        </row>
        <row r="1853">
          <cell r="B1853">
            <v>46048</v>
          </cell>
        </row>
        <row r="1854">
          <cell r="B1854">
            <v>46049</v>
          </cell>
        </row>
        <row r="1855">
          <cell r="B1855">
            <v>46050</v>
          </cell>
        </row>
        <row r="1856">
          <cell r="B1856">
            <v>46051</v>
          </cell>
        </row>
        <row r="1857">
          <cell r="B1857">
            <v>46052</v>
          </cell>
        </row>
        <row r="1858">
          <cell r="B1858">
            <v>46053</v>
          </cell>
        </row>
        <row r="1859">
          <cell r="B1859">
            <v>46054</v>
          </cell>
        </row>
        <row r="1860">
          <cell r="B1860">
            <v>46055</v>
          </cell>
        </row>
        <row r="1861">
          <cell r="B1861">
            <v>46056</v>
          </cell>
        </row>
        <row r="1862">
          <cell r="B1862">
            <v>46057</v>
          </cell>
        </row>
        <row r="1863">
          <cell r="B1863">
            <v>46058</v>
          </cell>
        </row>
        <row r="1864">
          <cell r="B1864">
            <v>46059</v>
          </cell>
        </row>
        <row r="1865">
          <cell r="B1865">
            <v>46060</v>
          </cell>
        </row>
        <row r="1866">
          <cell r="B1866">
            <v>46061</v>
          </cell>
        </row>
        <row r="1867">
          <cell r="B1867">
            <v>46062</v>
          </cell>
        </row>
        <row r="1868">
          <cell r="B1868">
            <v>46063</v>
          </cell>
        </row>
        <row r="1869">
          <cell r="B1869">
            <v>46064</v>
          </cell>
        </row>
        <row r="1870">
          <cell r="B1870">
            <v>46065</v>
          </cell>
        </row>
        <row r="1871">
          <cell r="B1871">
            <v>46066</v>
          </cell>
        </row>
        <row r="1872">
          <cell r="B1872">
            <v>46067</v>
          </cell>
        </row>
        <row r="1873">
          <cell r="B1873">
            <v>46068</v>
          </cell>
        </row>
        <row r="1874">
          <cell r="B1874">
            <v>46069</v>
          </cell>
        </row>
        <row r="1875">
          <cell r="B1875">
            <v>46070</v>
          </cell>
        </row>
        <row r="1876">
          <cell r="B1876">
            <v>46071</v>
          </cell>
        </row>
        <row r="1877">
          <cell r="B1877">
            <v>46072</v>
          </cell>
        </row>
        <row r="1878">
          <cell r="B1878">
            <v>46073</v>
          </cell>
        </row>
        <row r="1879">
          <cell r="B1879">
            <v>46074</v>
          </cell>
        </row>
        <row r="1880">
          <cell r="B1880">
            <v>46075</v>
          </cell>
        </row>
        <row r="1881">
          <cell r="B1881">
            <v>46076</v>
          </cell>
        </row>
        <row r="1882">
          <cell r="B1882">
            <v>46077</v>
          </cell>
        </row>
        <row r="1883">
          <cell r="B1883">
            <v>46078</v>
          </cell>
        </row>
        <row r="1884">
          <cell r="B1884">
            <v>46079</v>
          </cell>
        </row>
        <row r="1885">
          <cell r="B1885">
            <v>46080</v>
          </cell>
        </row>
        <row r="1886">
          <cell r="B1886">
            <v>46081</v>
          </cell>
        </row>
        <row r="1887">
          <cell r="B1887">
            <v>46082</v>
          </cell>
        </row>
        <row r="1888">
          <cell r="B1888">
            <v>46083</v>
          </cell>
        </row>
        <row r="1889">
          <cell r="B1889">
            <v>46084</v>
          </cell>
        </row>
        <row r="1890">
          <cell r="B1890">
            <v>46085</v>
          </cell>
        </row>
        <row r="1891">
          <cell r="B1891">
            <v>46086</v>
          </cell>
        </row>
        <row r="1892">
          <cell r="B1892">
            <v>46087</v>
          </cell>
        </row>
        <row r="1893">
          <cell r="B1893">
            <v>46088</v>
          </cell>
        </row>
        <row r="1894">
          <cell r="B1894">
            <v>46089</v>
          </cell>
        </row>
        <row r="1895">
          <cell r="B1895">
            <v>46090</v>
          </cell>
        </row>
        <row r="1896">
          <cell r="B1896">
            <v>46091</v>
          </cell>
        </row>
        <row r="1897">
          <cell r="B1897">
            <v>46092</v>
          </cell>
        </row>
        <row r="1898">
          <cell r="B1898">
            <v>46093</v>
          </cell>
        </row>
        <row r="1899">
          <cell r="B1899">
            <v>46094</v>
          </cell>
        </row>
        <row r="1900">
          <cell r="B1900">
            <v>46095</v>
          </cell>
        </row>
        <row r="1901">
          <cell r="B1901">
            <v>46096</v>
          </cell>
        </row>
        <row r="1902">
          <cell r="B1902">
            <v>46097</v>
          </cell>
        </row>
        <row r="1903">
          <cell r="B1903">
            <v>46098</v>
          </cell>
        </row>
        <row r="1904">
          <cell r="B1904">
            <v>46099</v>
          </cell>
        </row>
        <row r="1905">
          <cell r="B1905">
            <v>46100</v>
          </cell>
        </row>
        <row r="1906">
          <cell r="B1906">
            <v>46101</v>
          </cell>
        </row>
        <row r="1907">
          <cell r="B1907">
            <v>46102</v>
          </cell>
        </row>
        <row r="1908">
          <cell r="B1908">
            <v>46103</v>
          </cell>
        </row>
        <row r="1909">
          <cell r="B1909">
            <v>46104</v>
          </cell>
        </row>
        <row r="1910">
          <cell r="B1910">
            <v>46105</v>
          </cell>
        </row>
        <row r="1911">
          <cell r="B1911">
            <v>46106</v>
          </cell>
        </row>
        <row r="1912">
          <cell r="B1912">
            <v>46107</v>
          </cell>
        </row>
        <row r="1913">
          <cell r="B1913">
            <v>46108</v>
          </cell>
        </row>
        <row r="1914">
          <cell r="B1914">
            <v>46109</v>
          </cell>
        </row>
        <row r="1915">
          <cell r="B1915">
            <v>46110</v>
          </cell>
        </row>
        <row r="1916">
          <cell r="B1916">
            <v>46111</v>
          </cell>
        </row>
        <row r="1917">
          <cell r="B1917">
            <v>46112</v>
          </cell>
        </row>
        <row r="1918">
          <cell r="B1918">
            <v>46113</v>
          </cell>
        </row>
        <row r="1919">
          <cell r="B1919">
            <v>46114</v>
          </cell>
        </row>
        <row r="1920">
          <cell r="B1920">
            <v>46115</v>
          </cell>
        </row>
        <row r="1921">
          <cell r="B1921">
            <v>46116</v>
          </cell>
        </row>
        <row r="1922">
          <cell r="B1922">
            <v>46117</v>
          </cell>
        </row>
        <row r="1923">
          <cell r="B1923">
            <v>46118</v>
          </cell>
        </row>
        <row r="1924">
          <cell r="B1924">
            <v>46119</v>
          </cell>
        </row>
        <row r="1925">
          <cell r="B1925">
            <v>46120</v>
          </cell>
        </row>
        <row r="1926">
          <cell r="B1926">
            <v>46121</v>
          </cell>
        </row>
        <row r="1927">
          <cell r="B1927">
            <v>46122</v>
          </cell>
        </row>
        <row r="1928">
          <cell r="B1928">
            <v>46123</v>
          </cell>
        </row>
        <row r="1929">
          <cell r="B1929">
            <v>46124</v>
          </cell>
        </row>
        <row r="1930">
          <cell r="B1930">
            <v>46125</v>
          </cell>
        </row>
        <row r="1931">
          <cell r="B1931">
            <v>46126</v>
          </cell>
        </row>
        <row r="1932">
          <cell r="B1932">
            <v>46127</v>
          </cell>
        </row>
        <row r="1933">
          <cell r="B1933">
            <v>46128</v>
          </cell>
        </row>
        <row r="1934">
          <cell r="B1934">
            <v>46129</v>
          </cell>
        </row>
        <row r="1935">
          <cell r="B1935">
            <v>46130</v>
          </cell>
        </row>
        <row r="1936">
          <cell r="B1936">
            <v>46131</v>
          </cell>
        </row>
        <row r="1937">
          <cell r="B1937">
            <v>46132</v>
          </cell>
        </row>
        <row r="1938">
          <cell r="B1938">
            <v>46133</v>
          </cell>
        </row>
        <row r="1939">
          <cell r="B1939">
            <v>46134</v>
          </cell>
        </row>
        <row r="1940">
          <cell r="B1940">
            <v>46135</v>
          </cell>
        </row>
        <row r="1941">
          <cell r="B1941">
            <v>46136</v>
          </cell>
        </row>
        <row r="1942">
          <cell r="B1942">
            <v>46137</v>
          </cell>
        </row>
        <row r="1943">
          <cell r="B1943">
            <v>46138</v>
          </cell>
        </row>
        <row r="1944">
          <cell r="B1944">
            <v>46139</v>
          </cell>
        </row>
        <row r="1945">
          <cell r="B1945">
            <v>46140</v>
          </cell>
        </row>
        <row r="1946">
          <cell r="B1946">
            <v>46141</v>
          </cell>
        </row>
        <row r="1947">
          <cell r="B1947">
            <v>46142</v>
          </cell>
        </row>
        <row r="1948">
          <cell r="B1948">
            <v>46143</v>
          </cell>
        </row>
        <row r="1949">
          <cell r="B1949">
            <v>46144</v>
          </cell>
        </row>
        <row r="1950">
          <cell r="B1950">
            <v>46145</v>
          </cell>
        </row>
        <row r="1951">
          <cell r="B1951">
            <v>46146</v>
          </cell>
        </row>
        <row r="1952">
          <cell r="B1952">
            <v>46147</v>
          </cell>
        </row>
        <row r="1953">
          <cell r="B1953">
            <v>46148</v>
          </cell>
        </row>
        <row r="1954">
          <cell r="B1954">
            <v>46149</v>
          </cell>
        </row>
        <row r="1955">
          <cell r="B1955">
            <v>46150</v>
          </cell>
        </row>
        <row r="1956">
          <cell r="B1956">
            <v>46151</v>
          </cell>
        </row>
        <row r="1957">
          <cell r="B1957">
            <v>46152</v>
          </cell>
        </row>
        <row r="1958">
          <cell r="B1958">
            <v>46153</v>
          </cell>
        </row>
        <row r="1959">
          <cell r="B1959">
            <v>46154</v>
          </cell>
        </row>
        <row r="1960">
          <cell r="B1960">
            <v>46155</v>
          </cell>
        </row>
        <row r="1961">
          <cell r="B1961">
            <v>46156</v>
          </cell>
        </row>
        <row r="1962">
          <cell r="B1962">
            <v>46157</v>
          </cell>
        </row>
        <row r="1963">
          <cell r="B1963">
            <v>46158</v>
          </cell>
        </row>
        <row r="1964">
          <cell r="B1964">
            <v>46159</v>
          </cell>
        </row>
        <row r="1965">
          <cell r="B1965">
            <v>46160</v>
          </cell>
        </row>
        <row r="1966">
          <cell r="B1966">
            <v>46161</v>
          </cell>
        </row>
        <row r="1967">
          <cell r="B1967">
            <v>46162</v>
          </cell>
        </row>
        <row r="1968">
          <cell r="B1968">
            <v>46163</v>
          </cell>
        </row>
        <row r="1969">
          <cell r="B1969">
            <v>46164</v>
          </cell>
        </row>
        <row r="1970">
          <cell r="B1970">
            <v>46165</v>
          </cell>
        </row>
        <row r="1971">
          <cell r="B1971">
            <v>46166</v>
          </cell>
        </row>
        <row r="1972">
          <cell r="B1972">
            <v>46167</v>
          </cell>
        </row>
        <row r="1973">
          <cell r="B1973">
            <v>46168</v>
          </cell>
        </row>
        <row r="1974">
          <cell r="B1974">
            <v>46169</v>
          </cell>
        </row>
        <row r="1975">
          <cell r="B1975">
            <v>46170</v>
          </cell>
        </row>
        <row r="1976">
          <cell r="B1976">
            <v>46171</v>
          </cell>
        </row>
        <row r="1977">
          <cell r="B1977">
            <v>46172</v>
          </cell>
        </row>
        <row r="1978">
          <cell r="B1978">
            <v>46173</v>
          </cell>
        </row>
        <row r="1979">
          <cell r="B1979">
            <v>46174</v>
          </cell>
        </row>
        <row r="1980">
          <cell r="B1980">
            <v>46175</v>
          </cell>
        </row>
        <row r="1981">
          <cell r="B1981">
            <v>46176</v>
          </cell>
        </row>
        <row r="1982">
          <cell r="B1982">
            <v>46177</v>
          </cell>
        </row>
        <row r="1983">
          <cell r="B1983">
            <v>46178</v>
          </cell>
        </row>
        <row r="1984">
          <cell r="B1984">
            <v>46179</v>
          </cell>
        </row>
        <row r="1985">
          <cell r="B1985">
            <v>46180</v>
          </cell>
        </row>
        <row r="1986">
          <cell r="B1986">
            <v>46181</v>
          </cell>
        </row>
        <row r="1987">
          <cell r="B1987">
            <v>46182</v>
          </cell>
        </row>
        <row r="1988">
          <cell r="B1988">
            <v>46183</v>
          </cell>
        </row>
        <row r="1989">
          <cell r="B1989">
            <v>46184</v>
          </cell>
        </row>
        <row r="1990">
          <cell r="B1990">
            <v>46185</v>
          </cell>
        </row>
        <row r="1991">
          <cell r="B1991">
            <v>46186</v>
          </cell>
        </row>
        <row r="1992">
          <cell r="B1992">
            <v>46187</v>
          </cell>
        </row>
        <row r="1993">
          <cell r="B1993">
            <v>46188</v>
          </cell>
        </row>
        <row r="1994">
          <cell r="B1994">
            <v>46189</v>
          </cell>
        </row>
        <row r="1995">
          <cell r="B1995">
            <v>46190</v>
          </cell>
        </row>
        <row r="1996">
          <cell r="B1996">
            <v>46191</v>
          </cell>
        </row>
        <row r="1997">
          <cell r="B1997">
            <v>46192</v>
          </cell>
        </row>
        <row r="1998">
          <cell r="B1998">
            <v>46193</v>
          </cell>
        </row>
        <row r="1999">
          <cell r="B1999">
            <v>46194</v>
          </cell>
        </row>
        <row r="2000">
          <cell r="B2000">
            <v>46195</v>
          </cell>
        </row>
        <row r="2001">
          <cell r="B2001">
            <v>46196</v>
          </cell>
        </row>
        <row r="2002">
          <cell r="B2002">
            <v>46197</v>
          </cell>
        </row>
        <row r="2003">
          <cell r="B2003">
            <v>46198</v>
          </cell>
        </row>
        <row r="2004">
          <cell r="B2004">
            <v>46199</v>
          </cell>
        </row>
        <row r="2005">
          <cell r="B2005">
            <v>46200</v>
          </cell>
        </row>
        <row r="2006">
          <cell r="B2006">
            <v>46201</v>
          </cell>
        </row>
        <row r="2007">
          <cell r="B2007">
            <v>46202</v>
          </cell>
        </row>
        <row r="2008">
          <cell r="B2008">
            <v>46203</v>
          </cell>
        </row>
        <row r="2009">
          <cell r="B2009">
            <v>46204</v>
          </cell>
        </row>
        <row r="2010">
          <cell r="B2010">
            <v>46205</v>
          </cell>
        </row>
        <row r="2011">
          <cell r="B2011">
            <v>46206</v>
          </cell>
        </row>
        <row r="2012">
          <cell r="B2012">
            <v>46207</v>
          </cell>
        </row>
        <row r="2013">
          <cell r="B2013">
            <v>46208</v>
          </cell>
        </row>
        <row r="2014">
          <cell r="B2014">
            <v>46209</v>
          </cell>
        </row>
        <row r="2015">
          <cell r="B2015">
            <v>46210</v>
          </cell>
        </row>
        <row r="2016">
          <cell r="B2016">
            <v>46211</v>
          </cell>
        </row>
        <row r="2017">
          <cell r="B2017">
            <v>46212</v>
          </cell>
        </row>
        <row r="2018">
          <cell r="B2018">
            <v>46213</v>
          </cell>
        </row>
        <row r="2019">
          <cell r="B2019">
            <v>46214</v>
          </cell>
        </row>
        <row r="2020">
          <cell r="B2020">
            <v>46215</v>
          </cell>
        </row>
        <row r="2021">
          <cell r="B2021">
            <v>46216</v>
          </cell>
        </row>
        <row r="2022">
          <cell r="B2022">
            <v>46217</v>
          </cell>
        </row>
        <row r="2023">
          <cell r="B2023">
            <v>46218</v>
          </cell>
        </row>
        <row r="2024">
          <cell r="B2024">
            <v>46219</v>
          </cell>
        </row>
        <row r="2025">
          <cell r="B2025">
            <v>46220</v>
          </cell>
        </row>
        <row r="2026">
          <cell r="B2026">
            <v>46221</v>
          </cell>
        </row>
        <row r="2027">
          <cell r="B2027">
            <v>46222</v>
          </cell>
        </row>
        <row r="2028">
          <cell r="B2028">
            <v>46223</v>
          </cell>
        </row>
        <row r="2029">
          <cell r="B2029">
            <v>46224</v>
          </cell>
        </row>
        <row r="2030">
          <cell r="B2030">
            <v>46225</v>
          </cell>
        </row>
        <row r="2031">
          <cell r="B2031">
            <v>46226</v>
          </cell>
        </row>
        <row r="2032">
          <cell r="B2032">
            <v>46227</v>
          </cell>
        </row>
        <row r="2033">
          <cell r="B2033">
            <v>46228</v>
          </cell>
        </row>
        <row r="2034">
          <cell r="B2034">
            <v>46229</v>
          </cell>
        </row>
        <row r="2035">
          <cell r="B2035">
            <v>46230</v>
          </cell>
        </row>
        <row r="2036">
          <cell r="B2036">
            <v>46231</v>
          </cell>
        </row>
        <row r="2037">
          <cell r="B2037">
            <v>46232</v>
          </cell>
        </row>
        <row r="2038">
          <cell r="B2038">
            <v>46233</v>
          </cell>
        </row>
        <row r="2039">
          <cell r="B2039">
            <v>46234</v>
          </cell>
        </row>
        <row r="2040">
          <cell r="B2040">
            <v>46235</v>
          </cell>
        </row>
        <row r="2041">
          <cell r="B2041">
            <v>46236</v>
          </cell>
        </row>
        <row r="2042">
          <cell r="B2042">
            <v>46237</v>
          </cell>
        </row>
        <row r="2043">
          <cell r="B2043">
            <v>46238</v>
          </cell>
        </row>
        <row r="2044">
          <cell r="B2044">
            <v>46239</v>
          </cell>
        </row>
        <row r="2045">
          <cell r="B2045">
            <v>46240</v>
          </cell>
        </row>
        <row r="2046">
          <cell r="B2046">
            <v>46241</v>
          </cell>
        </row>
        <row r="2047">
          <cell r="B2047">
            <v>46242</v>
          </cell>
        </row>
        <row r="2048">
          <cell r="B2048">
            <v>46243</v>
          </cell>
        </row>
        <row r="2049">
          <cell r="B2049">
            <v>46244</v>
          </cell>
        </row>
        <row r="2050">
          <cell r="B2050">
            <v>46245</v>
          </cell>
        </row>
        <row r="2051">
          <cell r="B2051">
            <v>46246</v>
          </cell>
        </row>
        <row r="2052">
          <cell r="B2052">
            <v>46247</v>
          </cell>
        </row>
        <row r="2053">
          <cell r="B2053">
            <v>46248</v>
          </cell>
        </row>
        <row r="2054">
          <cell r="B2054">
            <v>46249</v>
          </cell>
        </row>
        <row r="2055">
          <cell r="B2055">
            <v>46250</v>
          </cell>
        </row>
        <row r="2056">
          <cell r="B2056">
            <v>46251</v>
          </cell>
        </row>
        <row r="2057">
          <cell r="B2057">
            <v>46252</v>
          </cell>
        </row>
        <row r="2058">
          <cell r="B2058">
            <v>46253</v>
          </cell>
        </row>
        <row r="2059">
          <cell r="B2059">
            <v>46254</v>
          </cell>
        </row>
        <row r="2060">
          <cell r="B2060">
            <v>46255</v>
          </cell>
        </row>
        <row r="2061">
          <cell r="B2061">
            <v>46256</v>
          </cell>
        </row>
        <row r="2062">
          <cell r="B2062">
            <v>46257</v>
          </cell>
        </row>
        <row r="2063">
          <cell r="B2063">
            <v>46258</v>
          </cell>
        </row>
        <row r="2064">
          <cell r="B2064">
            <v>46259</v>
          </cell>
        </row>
        <row r="2065">
          <cell r="B2065">
            <v>46260</v>
          </cell>
        </row>
        <row r="2066">
          <cell r="B2066">
            <v>46261</v>
          </cell>
        </row>
        <row r="2067">
          <cell r="B2067">
            <v>46262</v>
          </cell>
        </row>
        <row r="2068">
          <cell r="B2068">
            <v>46263</v>
          </cell>
        </row>
        <row r="2069">
          <cell r="B2069">
            <v>46264</v>
          </cell>
        </row>
        <row r="2070">
          <cell r="B2070">
            <v>46265</v>
          </cell>
        </row>
        <row r="2071">
          <cell r="B2071">
            <v>46266</v>
          </cell>
        </row>
        <row r="2072">
          <cell r="B2072">
            <v>46267</v>
          </cell>
        </row>
        <row r="2073">
          <cell r="B2073">
            <v>46268</v>
          </cell>
        </row>
        <row r="2074">
          <cell r="B2074">
            <v>46269</v>
          </cell>
        </row>
        <row r="2075">
          <cell r="B2075">
            <v>46270</v>
          </cell>
        </row>
        <row r="2076">
          <cell r="B2076">
            <v>46271</v>
          </cell>
        </row>
        <row r="2077">
          <cell r="B2077">
            <v>46272</v>
          </cell>
        </row>
        <row r="2078">
          <cell r="B2078">
            <v>46273</v>
          </cell>
        </row>
        <row r="2079">
          <cell r="B2079">
            <v>46274</v>
          </cell>
        </row>
        <row r="2080">
          <cell r="B2080">
            <v>46275</v>
          </cell>
        </row>
        <row r="2081">
          <cell r="B2081">
            <v>46276</v>
          </cell>
        </row>
        <row r="2082">
          <cell r="B2082">
            <v>46277</v>
          </cell>
        </row>
        <row r="2083">
          <cell r="B2083">
            <v>46278</v>
          </cell>
        </row>
        <row r="2084">
          <cell r="B2084">
            <v>46279</v>
          </cell>
        </row>
        <row r="2085">
          <cell r="B2085">
            <v>46280</v>
          </cell>
        </row>
        <row r="2086">
          <cell r="B2086">
            <v>46281</v>
          </cell>
        </row>
        <row r="2087">
          <cell r="B2087">
            <v>46282</v>
          </cell>
        </row>
        <row r="2088">
          <cell r="B2088">
            <v>46283</v>
          </cell>
        </row>
        <row r="2089">
          <cell r="B2089">
            <v>46284</v>
          </cell>
        </row>
        <row r="2090">
          <cell r="B2090">
            <v>46285</v>
          </cell>
        </row>
        <row r="2091">
          <cell r="B2091">
            <v>46286</v>
          </cell>
        </row>
        <row r="2092">
          <cell r="B2092">
            <v>46287</v>
          </cell>
        </row>
        <row r="2093">
          <cell r="B2093">
            <v>46288</v>
          </cell>
        </row>
        <row r="2094">
          <cell r="B2094">
            <v>46289</v>
          </cell>
        </row>
        <row r="2095">
          <cell r="B2095">
            <v>46290</v>
          </cell>
        </row>
        <row r="2096">
          <cell r="B2096">
            <v>46291</v>
          </cell>
        </row>
        <row r="2097">
          <cell r="B2097">
            <v>46292</v>
          </cell>
        </row>
        <row r="2098">
          <cell r="B2098">
            <v>46293</v>
          </cell>
        </row>
        <row r="2099">
          <cell r="B2099">
            <v>46294</v>
          </cell>
        </row>
        <row r="2100">
          <cell r="B2100">
            <v>46295</v>
          </cell>
        </row>
        <row r="2101">
          <cell r="B2101">
            <v>46296</v>
          </cell>
        </row>
        <row r="2102">
          <cell r="B2102">
            <v>46297</v>
          </cell>
        </row>
        <row r="2103">
          <cell r="B2103">
            <v>46298</v>
          </cell>
        </row>
        <row r="2104">
          <cell r="B2104">
            <v>46299</v>
          </cell>
        </row>
        <row r="2105">
          <cell r="B2105">
            <v>46300</v>
          </cell>
        </row>
        <row r="2106">
          <cell r="B2106">
            <v>46301</v>
          </cell>
        </row>
        <row r="2107">
          <cell r="B2107">
            <v>46302</v>
          </cell>
        </row>
        <row r="2108">
          <cell r="B2108">
            <v>46303</v>
          </cell>
        </row>
        <row r="2109">
          <cell r="B2109">
            <v>46304</v>
          </cell>
        </row>
        <row r="2110">
          <cell r="B2110">
            <v>46305</v>
          </cell>
        </row>
        <row r="2111">
          <cell r="B2111">
            <v>46306</v>
          </cell>
        </row>
        <row r="2112">
          <cell r="B2112">
            <v>46307</v>
          </cell>
        </row>
        <row r="2113">
          <cell r="B2113">
            <v>46308</v>
          </cell>
        </row>
        <row r="2114">
          <cell r="B2114">
            <v>46309</v>
          </cell>
        </row>
        <row r="2115">
          <cell r="B2115">
            <v>46310</v>
          </cell>
        </row>
        <row r="2116">
          <cell r="B2116">
            <v>46311</v>
          </cell>
        </row>
        <row r="2117">
          <cell r="B2117">
            <v>46312</v>
          </cell>
        </row>
        <row r="2118">
          <cell r="B2118">
            <v>46313</v>
          </cell>
        </row>
        <row r="2119">
          <cell r="B2119">
            <v>46314</v>
          </cell>
        </row>
        <row r="2120">
          <cell r="B2120">
            <v>46315</v>
          </cell>
        </row>
        <row r="2121">
          <cell r="B2121">
            <v>46316</v>
          </cell>
        </row>
        <row r="2122">
          <cell r="B2122">
            <v>46317</v>
          </cell>
        </row>
        <row r="2123">
          <cell r="B2123">
            <v>46318</v>
          </cell>
        </row>
        <row r="2124">
          <cell r="B2124">
            <v>46319</v>
          </cell>
        </row>
        <row r="2125">
          <cell r="B2125">
            <v>46320</v>
          </cell>
        </row>
        <row r="2126">
          <cell r="B2126">
            <v>46321</v>
          </cell>
        </row>
        <row r="2127">
          <cell r="B2127">
            <v>46322</v>
          </cell>
        </row>
        <row r="2128">
          <cell r="B2128">
            <v>46323</v>
          </cell>
        </row>
        <row r="2129">
          <cell r="B2129">
            <v>46324</v>
          </cell>
        </row>
        <row r="2130">
          <cell r="B2130">
            <v>46325</v>
          </cell>
        </row>
        <row r="2131">
          <cell r="B2131">
            <v>46326</v>
          </cell>
        </row>
        <row r="2132">
          <cell r="B2132">
            <v>46327</v>
          </cell>
        </row>
        <row r="2133">
          <cell r="B2133">
            <v>46328</v>
          </cell>
        </row>
        <row r="2134">
          <cell r="B2134">
            <v>46329</v>
          </cell>
        </row>
        <row r="2135">
          <cell r="B2135">
            <v>46330</v>
          </cell>
        </row>
        <row r="2136">
          <cell r="B2136">
            <v>46331</v>
          </cell>
        </row>
        <row r="2137">
          <cell r="B2137">
            <v>46332</v>
          </cell>
        </row>
        <row r="2138">
          <cell r="B2138">
            <v>46333</v>
          </cell>
        </row>
        <row r="2139">
          <cell r="B2139">
            <v>46334</v>
          </cell>
        </row>
        <row r="2140">
          <cell r="B2140">
            <v>46335</v>
          </cell>
        </row>
        <row r="2141">
          <cell r="B2141">
            <v>46336</v>
          </cell>
        </row>
        <row r="2142">
          <cell r="B2142">
            <v>46337</v>
          </cell>
        </row>
        <row r="2143">
          <cell r="B2143">
            <v>46338</v>
          </cell>
        </row>
        <row r="2144">
          <cell r="B2144">
            <v>46339</v>
          </cell>
        </row>
        <row r="2145">
          <cell r="B2145">
            <v>46340</v>
          </cell>
        </row>
        <row r="2146">
          <cell r="B2146">
            <v>46341</v>
          </cell>
        </row>
        <row r="2147">
          <cell r="B2147">
            <v>46342</v>
          </cell>
        </row>
        <row r="2148">
          <cell r="B2148">
            <v>46343</v>
          </cell>
        </row>
        <row r="2149">
          <cell r="B2149">
            <v>46344</v>
          </cell>
        </row>
        <row r="2150">
          <cell r="B2150">
            <v>46345</v>
          </cell>
        </row>
        <row r="2151">
          <cell r="B2151">
            <v>46346</v>
          </cell>
        </row>
        <row r="2152">
          <cell r="B2152">
            <v>46347</v>
          </cell>
        </row>
        <row r="2153">
          <cell r="B2153">
            <v>46348</v>
          </cell>
        </row>
        <row r="2154">
          <cell r="B2154">
            <v>46349</v>
          </cell>
        </row>
        <row r="2155">
          <cell r="B2155">
            <v>46350</v>
          </cell>
        </row>
        <row r="2156">
          <cell r="B2156">
            <v>46351</v>
          </cell>
        </row>
        <row r="2157">
          <cell r="B2157">
            <v>46352</v>
          </cell>
        </row>
        <row r="2158">
          <cell r="B2158">
            <v>46353</v>
          </cell>
        </row>
        <row r="2159">
          <cell r="B2159">
            <v>46354</v>
          </cell>
        </row>
        <row r="2160">
          <cell r="B2160">
            <v>46355</v>
          </cell>
        </row>
        <row r="2161">
          <cell r="B2161">
            <v>46356</v>
          </cell>
        </row>
        <row r="2162">
          <cell r="B2162">
            <v>46357</v>
          </cell>
        </row>
        <row r="2163">
          <cell r="B2163">
            <v>46358</v>
          </cell>
        </row>
        <row r="2164">
          <cell r="B2164">
            <v>46359</v>
          </cell>
        </row>
        <row r="2165">
          <cell r="B2165">
            <v>46360</v>
          </cell>
        </row>
        <row r="2166">
          <cell r="B2166">
            <v>46361</v>
          </cell>
        </row>
        <row r="2167">
          <cell r="B2167">
            <v>46362</v>
          </cell>
        </row>
        <row r="2168">
          <cell r="B2168">
            <v>46363</v>
          </cell>
        </row>
        <row r="2169">
          <cell r="B2169">
            <v>46364</v>
          </cell>
        </row>
        <row r="2170">
          <cell r="B2170">
            <v>46365</v>
          </cell>
        </row>
        <row r="2171">
          <cell r="B2171">
            <v>46366</v>
          </cell>
        </row>
        <row r="2172">
          <cell r="B2172">
            <v>46367</v>
          </cell>
        </row>
        <row r="2173">
          <cell r="B2173">
            <v>46368</v>
          </cell>
        </row>
        <row r="2174">
          <cell r="B2174">
            <v>46369</v>
          </cell>
        </row>
        <row r="2175">
          <cell r="B2175">
            <v>46370</v>
          </cell>
        </row>
        <row r="2176">
          <cell r="B2176">
            <v>46371</v>
          </cell>
        </row>
        <row r="2177">
          <cell r="B2177">
            <v>46372</v>
          </cell>
        </row>
        <row r="2178">
          <cell r="B2178">
            <v>46373</v>
          </cell>
        </row>
        <row r="2179">
          <cell r="B2179">
            <v>46374</v>
          </cell>
        </row>
        <row r="2180">
          <cell r="B2180">
            <v>46375</v>
          </cell>
        </row>
        <row r="2181">
          <cell r="B2181">
            <v>46376</v>
          </cell>
        </row>
        <row r="2182">
          <cell r="B2182">
            <v>46377</v>
          </cell>
        </row>
        <row r="2183">
          <cell r="B2183">
            <v>46378</v>
          </cell>
        </row>
        <row r="2184">
          <cell r="B2184">
            <v>46379</v>
          </cell>
        </row>
        <row r="2185">
          <cell r="B2185">
            <v>46380</v>
          </cell>
        </row>
        <row r="2186">
          <cell r="B2186">
            <v>46381</v>
          </cell>
        </row>
        <row r="2187">
          <cell r="B2187">
            <v>46382</v>
          </cell>
        </row>
        <row r="2188">
          <cell r="B2188">
            <v>46383</v>
          </cell>
        </row>
        <row r="2189">
          <cell r="B2189">
            <v>46384</v>
          </cell>
        </row>
        <row r="2190">
          <cell r="B2190">
            <v>46385</v>
          </cell>
        </row>
        <row r="2191">
          <cell r="B2191">
            <v>46386</v>
          </cell>
        </row>
        <row r="2192">
          <cell r="B2192">
            <v>46387</v>
          </cell>
        </row>
        <row r="2193">
          <cell r="B2193">
            <v>46388</v>
          </cell>
        </row>
        <row r="2194">
          <cell r="B2194">
            <v>46389</v>
          </cell>
        </row>
        <row r="2195">
          <cell r="B2195">
            <v>46390</v>
          </cell>
        </row>
        <row r="2196">
          <cell r="B2196">
            <v>46391</v>
          </cell>
        </row>
        <row r="2197">
          <cell r="B2197">
            <v>46392</v>
          </cell>
        </row>
        <row r="2198">
          <cell r="B2198">
            <v>46393</v>
          </cell>
        </row>
        <row r="2199">
          <cell r="B2199">
            <v>46394</v>
          </cell>
        </row>
        <row r="2200">
          <cell r="B2200">
            <v>46395</v>
          </cell>
        </row>
        <row r="2201">
          <cell r="B2201">
            <v>46396</v>
          </cell>
        </row>
        <row r="2202">
          <cell r="B2202">
            <v>46397</v>
          </cell>
        </row>
        <row r="2203">
          <cell r="B2203">
            <v>46398</v>
          </cell>
        </row>
        <row r="2204">
          <cell r="B2204">
            <v>46399</v>
          </cell>
        </row>
        <row r="2205">
          <cell r="B2205">
            <v>46400</v>
          </cell>
        </row>
        <row r="2206">
          <cell r="B2206">
            <v>46401</v>
          </cell>
        </row>
        <row r="2207">
          <cell r="B2207">
            <v>46402</v>
          </cell>
        </row>
        <row r="2208">
          <cell r="B2208">
            <v>46403</v>
          </cell>
        </row>
        <row r="2209">
          <cell r="B2209">
            <v>46404</v>
          </cell>
        </row>
        <row r="2210">
          <cell r="B2210">
            <v>46405</v>
          </cell>
        </row>
        <row r="2211">
          <cell r="B2211">
            <v>46406</v>
          </cell>
        </row>
        <row r="2212">
          <cell r="B2212">
            <v>46407</v>
          </cell>
        </row>
        <row r="2213">
          <cell r="B2213">
            <v>46408</v>
          </cell>
        </row>
        <row r="2214">
          <cell r="B2214">
            <v>46409</v>
          </cell>
        </row>
        <row r="2215">
          <cell r="B2215">
            <v>46410</v>
          </cell>
        </row>
        <row r="2216">
          <cell r="B2216">
            <v>46411</v>
          </cell>
        </row>
        <row r="2217">
          <cell r="B2217">
            <v>46412</v>
          </cell>
        </row>
        <row r="2218">
          <cell r="B2218">
            <v>46413</v>
          </cell>
        </row>
        <row r="2219">
          <cell r="B2219">
            <v>46414</v>
          </cell>
        </row>
        <row r="2220">
          <cell r="B2220">
            <v>46415</v>
          </cell>
        </row>
        <row r="2221">
          <cell r="B2221">
            <v>46416</v>
          </cell>
        </row>
        <row r="2222">
          <cell r="B2222">
            <v>46417</v>
          </cell>
        </row>
        <row r="2223">
          <cell r="B2223">
            <v>46418</v>
          </cell>
        </row>
        <row r="2224">
          <cell r="B2224">
            <v>46419</v>
          </cell>
        </row>
        <row r="2225">
          <cell r="B2225">
            <v>46420</v>
          </cell>
        </row>
        <row r="2226">
          <cell r="B2226">
            <v>46421</v>
          </cell>
        </row>
        <row r="2227">
          <cell r="B2227">
            <v>46422</v>
          </cell>
        </row>
        <row r="2228">
          <cell r="B2228">
            <v>46423</v>
          </cell>
        </row>
        <row r="2229">
          <cell r="B2229">
            <v>46424</v>
          </cell>
        </row>
        <row r="2230">
          <cell r="B2230">
            <v>46425</v>
          </cell>
        </row>
        <row r="2231">
          <cell r="B2231">
            <v>46426</v>
          </cell>
        </row>
        <row r="2232">
          <cell r="B2232">
            <v>46427</v>
          </cell>
        </row>
        <row r="2233">
          <cell r="B2233">
            <v>46428</v>
          </cell>
        </row>
        <row r="2234">
          <cell r="B2234">
            <v>46429</v>
          </cell>
        </row>
        <row r="2235">
          <cell r="B2235">
            <v>46430</v>
          </cell>
        </row>
        <row r="2236">
          <cell r="B2236">
            <v>46431</v>
          </cell>
        </row>
        <row r="2237">
          <cell r="B2237">
            <v>46432</v>
          </cell>
        </row>
        <row r="2238">
          <cell r="B2238">
            <v>46433</v>
          </cell>
        </row>
        <row r="2239">
          <cell r="B2239">
            <v>46434</v>
          </cell>
        </row>
        <row r="2240">
          <cell r="B2240">
            <v>46435</v>
          </cell>
        </row>
        <row r="2241">
          <cell r="B2241">
            <v>46436</v>
          </cell>
        </row>
        <row r="2242">
          <cell r="B2242">
            <v>46437</v>
          </cell>
        </row>
        <row r="2243">
          <cell r="B2243">
            <v>46438</v>
          </cell>
        </row>
        <row r="2244">
          <cell r="B2244">
            <v>46439</v>
          </cell>
        </row>
        <row r="2245">
          <cell r="B2245">
            <v>46440</v>
          </cell>
        </row>
        <row r="2246">
          <cell r="B2246">
            <v>46441</v>
          </cell>
        </row>
        <row r="2247">
          <cell r="B2247">
            <v>46442</v>
          </cell>
        </row>
        <row r="2248">
          <cell r="B2248">
            <v>46443</v>
          </cell>
        </row>
        <row r="2249">
          <cell r="B2249">
            <v>46444</v>
          </cell>
        </row>
        <row r="2250">
          <cell r="B2250">
            <v>46445</v>
          </cell>
        </row>
        <row r="2251">
          <cell r="B2251">
            <v>46446</v>
          </cell>
        </row>
        <row r="2252">
          <cell r="B2252">
            <v>46447</v>
          </cell>
        </row>
        <row r="2253">
          <cell r="B2253">
            <v>46448</v>
          </cell>
        </row>
        <row r="2254">
          <cell r="B2254">
            <v>46449</v>
          </cell>
        </row>
        <row r="2255">
          <cell r="B2255">
            <v>46450</v>
          </cell>
        </row>
        <row r="2256">
          <cell r="B2256">
            <v>46451</v>
          </cell>
        </row>
        <row r="2257">
          <cell r="B2257">
            <v>46452</v>
          </cell>
        </row>
        <row r="2258">
          <cell r="B2258">
            <v>46453</v>
          </cell>
        </row>
        <row r="2259">
          <cell r="B2259">
            <v>46454</v>
          </cell>
        </row>
        <row r="2260">
          <cell r="B2260">
            <v>46455</v>
          </cell>
        </row>
        <row r="2261">
          <cell r="B2261">
            <v>46456</v>
          </cell>
        </row>
        <row r="2262">
          <cell r="B2262">
            <v>46457</v>
          </cell>
        </row>
        <row r="2263">
          <cell r="B2263">
            <v>46458</v>
          </cell>
        </row>
        <row r="2264">
          <cell r="B2264">
            <v>46459</v>
          </cell>
        </row>
        <row r="2265">
          <cell r="B2265">
            <v>46460</v>
          </cell>
        </row>
        <row r="2266">
          <cell r="B2266">
            <v>46461</v>
          </cell>
        </row>
        <row r="2267">
          <cell r="B2267">
            <v>46462</v>
          </cell>
        </row>
        <row r="2268">
          <cell r="B2268">
            <v>46463</v>
          </cell>
        </row>
        <row r="2269">
          <cell r="B2269">
            <v>46464</v>
          </cell>
        </row>
        <row r="2270">
          <cell r="B2270">
            <v>46465</v>
          </cell>
        </row>
        <row r="2271">
          <cell r="B2271">
            <v>46466</v>
          </cell>
        </row>
        <row r="2272">
          <cell r="B2272">
            <v>46467</v>
          </cell>
        </row>
        <row r="2273">
          <cell r="B2273">
            <v>46468</v>
          </cell>
        </row>
        <row r="2274">
          <cell r="B2274">
            <v>46469</v>
          </cell>
        </row>
        <row r="2275">
          <cell r="B2275">
            <v>46470</v>
          </cell>
        </row>
        <row r="2276">
          <cell r="B2276">
            <v>46471</v>
          </cell>
        </row>
        <row r="2277">
          <cell r="B2277">
            <v>46472</v>
          </cell>
        </row>
        <row r="2278">
          <cell r="B2278">
            <v>46473</v>
          </cell>
        </row>
        <row r="2279">
          <cell r="B2279">
            <v>46474</v>
          </cell>
        </row>
        <row r="2280">
          <cell r="B2280">
            <v>46475</v>
          </cell>
        </row>
        <row r="2281">
          <cell r="B2281">
            <v>46476</v>
          </cell>
        </row>
        <row r="2282">
          <cell r="B2282">
            <v>46477</v>
          </cell>
        </row>
        <row r="2283">
          <cell r="B2283">
            <v>46478</v>
          </cell>
        </row>
        <row r="2284">
          <cell r="B2284">
            <v>46479</v>
          </cell>
        </row>
        <row r="2285">
          <cell r="B2285">
            <v>46480</v>
          </cell>
        </row>
        <row r="2286">
          <cell r="B2286">
            <v>46481</v>
          </cell>
        </row>
        <row r="2287">
          <cell r="B2287">
            <v>46482</v>
          </cell>
        </row>
        <row r="2288">
          <cell r="B2288">
            <v>46483</v>
          </cell>
        </row>
        <row r="2289">
          <cell r="B2289">
            <v>46484</v>
          </cell>
        </row>
        <row r="2290">
          <cell r="B2290">
            <v>46485</v>
          </cell>
        </row>
        <row r="2291">
          <cell r="B2291">
            <v>46486</v>
          </cell>
        </row>
        <row r="2292">
          <cell r="B2292">
            <v>46487</v>
          </cell>
        </row>
        <row r="2293">
          <cell r="B2293">
            <v>46488</v>
          </cell>
        </row>
        <row r="2294">
          <cell r="B2294">
            <v>46489</v>
          </cell>
        </row>
        <row r="2295">
          <cell r="B2295">
            <v>46490</v>
          </cell>
        </row>
        <row r="2296">
          <cell r="B2296">
            <v>46491</v>
          </cell>
        </row>
        <row r="2297">
          <cell r="B2297">
            <v>46492</v>
          </cell>
        </row>
        <row r="2298">
          <cell r="B2298">
            <v>46493</v>
          </cell>
        </row>
        <row r="2299">
          <cell r="B2299">
            <v>46494</v>
          </cell>
        </row>
        <row r="2300">
          <cell r="B2300">
            <v>46495</v>
          </cell>
        </row>
        <row r="2301">
          <cell r="B2301">
            <v>46496</v>
          </cell>
        </row>
        <row r="2302">
          <cell r="B2302">
            <v>46497</v>
          </cell>
        </row>
        <row r="2303">
          <cell r="B2303">
            <v>46498</v>
          </cell>
        </row>
        <row r="2304">
          <cell r="B2304">
            <v>46499</v>
          </cell>
        </row>
        <row r="2305">
          <cell r="B2305">
            <v>46500</v>
          </cell>
        </row>
        <row r="2306">
          <cell r="B2306">
            <v>46501</v>
          </cell>
        </row>
        <row r="2307">
          <cell r="B2307">
            <v>46502</v>
          </cell>
        </row>
        <row r="2308">
          <cell r="B2308">
            <v>46503</v>
          </cell>
        </row>
        <row r="2309">
          <cell r="B2309">
            <v>46504</v>
          </cell>
        </row>
        <row r="2310">
          <cell r="B2310">
            <v>46505</v>
          </cell>
        </row>
        <row r="2311">
          <cell r="B2311">
            <v>46506</v>
          </cell>
        </row>
        <row r="2312">
          <cell r="B2312">
            <v>46507</v>
          </cell>
        </row>
        <row r="2313">
          <cell r="B2313">
            <v>46508</v>
          </cell>
        </row>
        <row r="2314">
          <cell r="B2314">
            <v>46509</v>
          </cell>
        </row>
        <row r="2315">
          <cell r="B2315">
            <v>46510</v>
          </cell>
        </row>
        <row r="2316">
          <cell r="B2316">
            <v>46511</v>
          </cell>
        </row>
        <row r="2317">
          <cell r="B2317">
            <v>46512</v>
          </cell>
        </row>
        <row r="2318">
          <cell r="B2318">
            <v>46513</v>
          </cell>
        </row>
        <row r="2319">
          <cell r="B2319">
            <v>46514</v>
          </cell>
        </row>
        <row r="2320">
          <cell r="B2320">
            <v>46515</v>
          </cell>
        </row>
        <row r="2321">
          <cell r="B2321">
            <v>46516</v>
          </cell>
        </row>
        <row r="2322">
          <cell r="B2322">
            <v>46517</v>
          </cell>
        </row>
        <row r="2323">
          <cell r="B2323">
            <v>46518</v>
          </cell>
        </row>
        <row r="2324">
          <cell r="B2324">
            <v>46519</v>
          </cell>
        </row>
        <row r="2325">
          <cell r="B2325">
            <v>46520</v>
          </cell>
        </row>
        <row r="2326">
          <cell r="B2326">
            <v>46521</v>
          </cell>
        </row>
        <row r="2327">
          <cell r="B2327">
            <v>46522</v>
          </cell>
        </row>
        <row r="2328">
          <cell r="B2328">
            <v>46523</v>
          </cell>
        </row>
        <row r="2329">
          <cell r="B2329">
            <v>46524</v>
          </cell>
        </row>
        <row r="2330">
          <cell r="B2330">
            <v>46525</v>
          </cell>
        </row>
        <row r="2331">
          <cell r="B2331">
            <v>46526</v>
          </cell>
        </row>
        <row r="2332">
          <cell r="B2332">
            <v>46527</v>
          </cell>
        </row>
        <row r="2333">
          <cell r="B2333">
            <v>46528</v>
          </cell>
        </row>
        <row r="2334">
          <cell r="B2334">
            <v>46529</v>
          </cell>
        </row>
        <row r="2335">
          <cell r="B2335">
            <v>46530</v>
          </cell>
        </row>
        <row r="2336">
          <cell r="B2336">
            <v>46531</v>
          </cell>
        </row>
        <row r="2337">
          <cell r="B2337">
            <v>46532</v>
          </cell>
        </row>
        <row r="2338">
          <cell r="B2338">
            <v>46533</v>
          </cell>
        </row>
        <row r="2339">
          <cell r="B2339">
            <v>46534</v>
          </cell>
        </row>
        <row r="2340">
          <cell r="B2340">
            <v>46535</v>
          </cell>
        </row>
        <row r="2341">
          <cell r="B2341">
            <v>46536</v>
          </cell>
        </row>
        <row r="2342">
          <cell r="B2342">
            <v>46537</v>
          </cell>
        </row>
        <row r="2343">
          <cell r="B2343">
            <v>46538</v>
          </cell>
        </row>
        <row r="2344">
          <cell r="B2344">
            <v>46539</v>
          </cell>
        </row>
        <row r="2345">
          <cell r="B2345">
            <v>46540</v>
          </cell>
        </row>
        <row r="2346">
          <cell r="B2346">
            <v>46541</v>
          </cell>
        </row>
        <row r="2347">
          <cell r="B2347">
            <v>46542</v>
          </cell>
        </row>
        <row r="2348">
          <cell r="B2348">
            <v>46543</v>
          </cell>
        </row>
        <row r="2349">
          <cell r="B2349">
            <v>46544</v>
          </cell>
        </row>
        <row r="2350">
          <cell r="B2350">
            <v>46545</v>
          </cell>
        </row>
        <row r="2351">
          <cell r="B2351">
            <v>46546</v>
          </cell>
        </row>
        <row r="2352">
          <cell r="B2352">
            <v>46547</v>
          </cell>
        </row>
        <row r="2353">
          <cell r="B2353">
            <v>46548</v>
          </cell>
        </row>
        <row r="2354">
          <cell r="B2354">
            <v>46549</v>
          </cell>
        </row>
        <row r="2355">
          <cell r="B2355">
            <v>46550</v>
          </cell>
        </row>
        <row r="2356">
          <cell r="B2356">
            <v>46551</v>
          </cell>
        </row>
        <row r="2357">
          <cell r="B2357">
            <v>46552</v>
          </cell>
        </row>
        <row r="2358">
          <cell r="B2358">
            <v>46553</v>
          </cell>
        </row>
        <row r="2359">
          <cell r="B2359">
            <v>46554</v>
          </cell>
        </row>
        <row r="2360">
          <cell r="B2360">
            <v>46555</v>
          </cell>
        </row>
        <row r="2361">
          <cell r="B2361">
            <v>46556</v>
          </cell>
        </row>
        <row r="2362">
          <cell r="B2362">
            <v>46557</v>
          </cell>
        </row>
        <row r="2363">
          <cell r="B2363">
            <v>46558</v>
          </cell>
        </row>
        <row r="2364">
          <cell r="B2364">
            <v>46559</v>
          </cell>
        </row>
        <row r="2365">
          <cell r="B2365">
            <v>46560</v>
          </cell>
        </row>
        <row r="2366">
          <cell r="B2366">
            <v>46561</v>
          </cell>
        </row>
        <row r="2367">
          <cell r="B2367">
            <v>46562</v>
          </cell>
        </row>
        <row r="2368">
          <cell r="B2368">
            <v>46563</v>
          </cell>
        </row>
        <row r="2369">
          <cell r="B2369">
            <v>46564</v>
          </cell>
        </row>
        <row r="2370">
          <cell r="B2370">
            <v>46565</v>
          </cell>
        </row>
        <row r="2371">
          <cell r="B2371">
            <v>46566</v>
          </cell>
        </row>
        <row r="2372">
          <cell r="B2372">
            <v>46567</v>
          </cell>
        </row>
        <row r="2373">
          <cell r="B2373">
            <v>46568</v>
          </cell>
        </row>
        <row r="2374">
          <cell r="B2374">
            <v>46569</v>
          </cell>
        </row>
        <row r="2375">
          <cell r="B2375">
            <v>46570</v>
          </cell>
        </row>
        <row r="2376">
          <cell r="B2376">
            <v>46571</v>
          </cell>
        </row>
        <row r="2377">
          <cell r="B2377">
            <v>46572</v>
          </cell>
        </row>
        <row r="2378">
          <cell r="B2378">
            <v>46573</v>
          </cell>
        </row>
        <row r="2379">
          <cell r="B2379">
            <v>46574</v>
          </cell>
        </row>
        <row r="2380">
          <cell r="B2380">
            <v>46575</v>
          </cell>
        </row>
        <row r="2381">
          <cell r="B2381">
            <v>46576</v>
          </cell>
        </row>
        <row r="2382">
          <cell r="B2382">
            <v>46577</v>
          </cell>
        </row>
        <row r="2383">
          <cell r="B2383">
            <v>46578</v>
          </cell>
        </row>
        <row r="2384">
          <cell r="B2384">
            <v>46579</v>
          </cell>
        </row>
        <row r="2385">
          <cell r="B2385">
            <v>46580</v>
          </cell>
        </row>
        <row r="2386">
          <cell r="B2386">
            <v>46581</v>
          </cell>
        </row>
        <row r="2387">
          <cell r="B2387">
            <v>46582</v>
          </cell>
        </row>
        <row r="2388">
          <cell r="B2388">
            <v>46583</v>
          </cell>
        </row>
        <row r="2389">
          <cell r="B2389">
            <v>46584</v>
          </cell>
        </row>
        <row r="2390">
          <cell r="B2390">
            <v>46585</v>
          </cell>
        </row>
        <row r="2391">
          <cell r="B2391">
            <v>46586</v>
          </cell>
        </row>
        <row r="2392">
          <cell r="B2392">
            <v>46587</v>
          </cell>
        </row>
        <row r="2393">
          <cell r="B2393">
            <v>46588</v>
          </cell>
        </row>
        <row r="2394">
          <cell r="B2394">
            <v>46589</v>
          </cell>
        </row>
        <row r="2395">
          <cell r="B2395">
            <v>46590</v>
          </cell>
        </row>
        <row r="2396">
          <cell r="B2396">
            <v>46591</v>
          </cell>
        </row>
        <row r="2397">
          <cell r="B2397">
            <v>46592</v>
          </cell>
        </row>
        <row r="2398">
          <cell r="B2398">
            <v>46593</v>
          </cell>
        </row>
        <row r="2399">
          <cell r="B2399">
            <v>46594</v>
          </cell>
        </row>
        <row r="2400">
          <cell r="B2400">
            <v>46595</v>
          </cell>
        </row>
        <row r="2401">
          <cell r="B2401">
            <v>46596</v>
          </cell>
        </row>
        <row r="2402">
          <cell r="B2402">
            <v>46597</v>
          </cell>
        </row>
        <row r="2403">
          <cell r="B2403">
            <v>46598</v>
          </cell>
        </row>
        <row r="2404">
          <cell r="B2404">
            <v>46599</v>
          </cell>
        </row>
        <row r="2405">
          <cell r="B2405">
            <v>46600</v>
          </cell>
        </row>
        <row r="2406">
          <cell r="B2406">
            <v>46601</v>
          </cell>
        </row>
        <row r="2407">
          <cell r="B2407">
            <v>46602</v>
          </cell>
        </row>
        <row r="2408">
          <cell r="B2408">
            <v>46603</v>
          </cell>
        </row>
        <row r="2409">
          <cell r="B2409">
            <v>46604</v>
          </cell>
        </row>
        <row r="2410">
          <cell r="B2410">
            <v>46605</v>
          </cell>
        </row>
        <row r="2411">
          <cell r="B2411">
            <v>46606</v>
          </cell>
        </row>
        <row r="2412">
          <cell r="B2412">
            <v>46607</v>
          </cell>
        </row>
        <row r="2413">
          <cell r="B2413">
            <v>46608</v>
          </cell>
        </row>
        <row r="2414">
          <cell r="B2414">
            <v>46609</v>
          </cell>
        </row>
        <row r="2415">
          <cell r="B2415">
            <v>46610</v>
          </cell>
        </row>
        <row r="2416">
          <cell r="B2416">
            <v>46611</v>
          </cell>
        </row>
        <row r="2417">
          <cell r="B2417">
            <v>46612</v>
          </cell>
        </row>
        <row r="2418">
          <cell r="B2418">
            <v>46613</v>
          </cell>
        </row>
        <row r="2419">
          <cell r="B2419">
            <v>46614</v>
          </cell>
        </row>
        <row r="2420">
          <cell r="B2420">
            <v>46615</v>
          </cell>
        </row>
        <row r="2421">
          <cell r="B2421">
            <v>46616</v>
          </cell>
        </row>
        <row r="2422">
          <cell r="B2422">
            <v>46617</v>
          </cell>
        </row>
        <row r="2423">
          <cell r="B2423">
            <v>46618</v>
          </cell>
        </row>
        <row r="2424">
          <cell r="B2424">
            <v>46619</v>
          </cell>
        </row>
        <row r="2425">
          <cell r="B2425">
            <v>46620</v>
          </cell>
        </row>
        <row r="2426">
          <cell r="B2426">
            <v>46621</v>
          </cell>
        </row>
        <row r="2427">
          <cell r="B2427">
            <v>46622</v>
          </cell>
        </row>
        <row r="2428">
          <cell r="B2428">
            <v>46623</v>
          </cell>
        </row>
        <row r="2429">
          <cell r="B2429">
            <v>46624</v>
          </cell>
        </row>
        <row r="2430">
          <cell r="B2430">
            <v>46625</v>
          </cell>
        </row>
        <row r="2431">
          <cell r="B2431">
            <v>46626</v>
          </cell>
        </row>
        <row r="2432">
          <cell r="B2432">
            <v>46627</v>
          </cell>
        </row>
        <row r="2433">
          <cell r="B2433">
            <v>46628</v>
          </cell>
        </row>
        <row r="2434">
          <cell r="B2434">
            <v>46629</v>
          </cell>
        </row>
        <row r="2435">
          <cell r="B2435">
            <v>46630</v>
          </cell>
        </row>
        <row r="2436">
          <cell r="B2436">
            <v>46631</v>
          </cell>
        </row>
        <row r="2437">
          <cell r="B2437">
            <v>46632</v>
          </cell>
        </row>
        <row r="2438">
          <cell r="B2438">
            <v>46633</v>
          </cell>
        </row>
        <row r="2439">
          <cell r="B2439">
            <v>46634</v>
          </cell>
        </row>
        <row r="2440">
          <cell r="B2440">
            <v>46635</v>
          </cell>
        </row>
        <row r="2441">
          <cell r="B2441">
            <v>46636</v>
          </cell>
        </row>
        <row r="2442">
          <cell r="B2442">
            <v>46637</v>
          </cell>
        </row>
        <row r="2443">
          <cell r="B2443">
            <v>46638</v>
          </cell>
        </row>
        <row r="2444">
          <cell r="B2444">
            <v>46639</v>
          </cell>
        </row>
        <row r="2445">
          <cell r="B2445">
            <v>46640</v>
          </cell>
        </row>
        <row r="2446">
          <cell r="B2446">
            <v>46641</v>
          </cell>
        </row>
        <row r="2447">
          <cell r="B2447">
            <v>46642</v>
          </cell>
        </row>
        <row r="2448">
          <cell r="B2448">
            <v>46643</v>
          </cell>
        </row>
        <row r="2449">
          <cell r="B2449">
            <v>46644</v>
          </cell>
        </row>
        <row r="2450">
          <cell r="B2450">
            <v>46645</v>
          </cell>
        </row>
        <row r="2451">
          <cell r="B2451">
            <v>46646</v>
          </cell>
        </row>
        <row r="2452">
          <cell r="B2452">
            <v>46647</v>
          </cell>
        </row>
        <row r="2453">
          <cell r="B2453">
            <v>46648</v>
          </cell>
        </row>
        <row r="2454">
          <cell r="B2454">
            <v>46649</v>
          </cell>
        </row>
        <row r="2455">
          <cell r="B2455">
            <v>46650</v>
          </cell>
        </row>
        <row r="2456">
          <cell r="B2456">
            <v>46651</v>
          </cell>
        </row>
        <row r="2457">
          <cell r="B2457">
            <v>46652</v>
          </cell>
        </row>
        <row r="2458">
          <cell r="B2458">
            <v>46653</v>
          </cell>
        </row>
        <row r="2459">
          <cell r="B2459">
            <v>46654</v>
          </cell>
        </row>
        <row r="2460">
          <cell r="B2460">
            <v>46655</v>
          </cell>
        </row>
        <row r="2461">
          <cell r="B2461">
            <v>46656</v>
          </cell>
        </row>
        <row r="2462">
          <cell r="B2462">
            <v>46657</v>
          </cell>
        </row>
        <row r="2463">
          <cell r="B2463">
            <v>46658</v>
          </cell>
        </row>
        <row r="2464">
          <cell r="B2464">
            <v>46659</v>
          </cell>
        </row>
        <row r="2465">
          <cell r="B2465">
            <v>46660</v>
          </cell>
        </row>
        <row r="2466">
          <cell r="B2466">
            <v>46661</v>
          </cell>
        </row>
        <row r="2467">
          <cell r="B2467">
            <v>46662</v>
          </cell>
        </row>
        <row r="2468">
          <cell r="B2468">
            <v>46663</v>
          </cell>
        </row>
        <row r="2469">
          <cell r="B2469">
            <v>46664</v>
          </cell>
        </row>
        <row r="2470">
          <cell r="B2470">
            <v>46665</v>
          </cell>
        </row>
        <row r="2471">
          <cell r="B2471">
            <v>46666</v>
          </cell>
        </row>
        <row r="2472">
          <cell r="B2472">
            <v>46667</v>
          </cell>
        </row>
        <row r="2473">
          <cell r="B2473">
            <v>46668</v>
          </cell>
        </row>
        <row r="2474">
          <cell r="B2474">
            <v>46669</v>
          </cell>
        </row>
        <row r="2475">
          <cell r="B2475">
            <v>46670</v>
          </cell>
        </row>
        <row r="2476">
          <cell r="B2476">
            <v>46671</v>
          </cell>
        </row>
        <row r="2477">
          <cell r="B2477">
            <v>46672</v>
          </cell>
        </row>
        <row r="2478">
          <cell r="B2478">
            <v>46673</v>
          </cell>
        </row>
        <row r="2479">
          <cell r="B2479">
            <v>46674</v>
          </cell>
        </row>
        <row r="2480">
          <cell r="B2480">
            <v>46675</v>
          </cell>
        </row>
        <row r="2481">
          <cell r="B2481">
            <v>46676</v>
          </cell>
        </row>
        <row r="2482">
          <cell r="B2482">
            <v>46677</v>
          </cell>
        </row>
        <row r="2483">
          <cell r="B2483">
            <v>46678</v>
          </cell>
        </row>
        <row r="2484">
          <cell r="B2484">
            <v>46679</v>
          </cell>
        </row>
        <row r="2485">
          <cell r="B2485">
            <v>46680</v>
          </cell>
        </row>
        <row r="2486">
          <cell r="B2486">
            <v>46681</v>
          </cell>
        </row>
        <row r="2487">
          <cell r="B2487">
            <v>46682</v>
          </cell>
        </row>
        <row r="2488">
          <cell r="B2488">
            <v>46683</v>
          </cell>
        </row>
        <row r="2489">
          <cell r="B2489">
            <v>46684</v>
          </cell>
        </row>
        <row r="2490">
          <cell r="B2490">
            <v>46685</v>
          </cell>
        </row>
        <row r="2491">
          <cell r="B2491">
            <v>46686</v>
          </cell>
        </row>
        <row r="2492">
          <cell r="B2492">
            <v>46687</v>
          </cell>
        </row>
        <row r="2493">
          <cell r="B2493">
            <v>46688</v>
          </cell>
        </row>
        <row r="2494">
          <cell r="B2494">
            <v>46689</v>
          </cell>
        </row>
        <row r="2495">
          <cell r="B2495">
            <v>46690</v>
          </cell>
        </row>
        <row r="2496">
          <cell r="B2496">
            <v>46691</v>
          </cell>
        </row>
        <row r="2497">
          <cell r="B2497">
            <v>46692</v>
          </cell>
        </row>
        <row r="2498">
          <cell r="B2498">
            <v>46693</v>
          </cell>
        </row>
        <row r="2499">
          <cell r="B2499">
            <v>46694</v>
          </cell>
        </row>
        <row r="2500">
          <cell r="B2500">
            <v>46695</v>
          </cell>
        </row>
        <row r="2501">
          <cell r="B2501">
            <v>46696</v>
          </cell>
        </row>
        <row r="2502">
          <cell r="B2502">
            <v>46697</v>
          </cell>
        </row>
        <row r="2503">
          <cell r="B2503">
            <v>46698</v>
          </cell>
        </row>
        <row r="2504">
          <cell r="B2504">
            <v>46699</v>
          </cell>
        </row>
        <row r="2505">
          <cell r="B2505">
            <v>46700</v>
          </cell>
        </row>
        <row r="2506">
          <cell r="B2506">
            <v>46701</v>
          </cell>
        </row>
        <row r="2507">
          <cell r="B2507">
            <v>46702</v>
          </cell>
        </row>
        <row r="2508">
          <cell r="B2508">
            <v>46703</v>
          </cell>
        </row>
        <row r="2509">
          <cell r="B2509">
            <v>46704</v>
          </cell>
        </row>
        <row r="2510">
          <cell r="B2510">
            <v>46705</v>
          </cell>
        </row>
        <row r="2511">
          <cell r="B2511">
            <v>46706</v>
          </cell>
        </row>
        <row r="2512">
          <cell r="B2512">
            <v>46707</v>
          </cell>
        </row>
        <row r="2513">
          <cell r="B2513">
            <v>46708</v>
          </cell>
        </row>
        <row r="2514">
          <cell r="B2514">
            <v>46709</v>
          </cell>
        </row>
        <row r="2515">
          <cell r="B2515">
            <v>46710</v>
          </cell>
        </row>
        <row r="2516">
          <cell r="B2516">
            <v>46711</v>
          </cell>
        </row>
        <row r="2517">
          <cell r="B2517">
            <v>46712</v>
          </cell>
        </row>
        <row r="2518">
          <cell r="B2518">
            <v>46713</v>
          </cell>
        </row>
        <row r="2519">
          <cell r="B2519">
            <v>46714</v>
          </cell>
        </row>
        <row r="2520">
          <cell r="B2520">
            <v>46715</v>
          </cell>
        </row>
        <row r="2521">
          <cell r="B2521">
            <v>46716</v>
          </cell>
        </row>
        <row r="2522">
          <cell r="B2522">
            <v>46717</v>
          </cell>
        </row>
        <row r="2523">
          <cell r="B2523">
            <v>46718</v>
          </cell>
        </row>
        <row r="2524">
          <cell r="B2524">
            <v>46719</v>
          </cell>
        </row>
        <row r="2525">
          <cell r="B2525">
            <v>46720</v>
          </cell>
        </row>
        <row r="2526">
          <cell r="B2526">
            <v>46721</v>
          </cell>
        </row>
        <row r="2527">
          <cell r="B2527">
            <v>46722</v>
          </cell>
        </row>
        <row r="2528">
          <cell r="B2528">
            <v>46723</v>
          </cell>
        </row>
        <row r="2529">
          <cell r="B2529">
            <v>46724</v>
          </cell>
        </row>
        <row r="2530">
          <cell r="B2530">
            <v>46725</v>
          </cell>
        </row>
        <row r="2531">
          <cell r="B2531">
            <v>46726</v>
          </cell>
        </row>
        <row r="2532">
          <cell r="B2532">
            <v>46727</v>
          </cell>
        </row>
        <row r="2533">
          <cell r="B2533">
            <v>46728</v>
          </cell>
        </row>
        <row r="2534">
          <cell r="B2534">
            <v>46729</v>
          </cell>
        </row>
        <row r="2535">
          <cell r="B2535">
            <v>46730</v>
          </cell>
        </row>
        <row r="2536">
          <cell r="B2536">
            <v>46731</v>
          </cell>
        </row>
        <row r="2537">
          <cell r="B2537">
            <v>46732</v>
          </cell>
        </row>
        <row r="2538">
          <cell r="B2538">
            <v>46733</v>
          </cell>
        </row>
        <row r="2539">
          <cell r="B2539">
            <v>46734</v>
          </cell>
        </row>
        <row r="2540">
          <cell r="B2540">
            <v>46735</v>
          </cell>
        </row>
        <row r="2541">
          <cell r="B2541">
            <v>46736</v>
          </cell>
        </row>
        <row r="2542">
          <cell r="B2542">
            <v>46737</v>
          </cell>
        </row>
        <row r="2543">
          <cell r="B2543">
            <v>46738</v>
          </cell>
        </row>
        <row r="2544">
          <cell r="B2544">
            <v>46739</v>
          </cell>
        </row>
        <row r="2545">
          <cell r="B2545">
            <v>46740</v>
          </cell>
        </row>
        <row r="2546">
          <cell r="B2546">
            <v>46741</v>
          </cell>
        </row>
        <row r="2547">
          <cell r="B2547">
            <v>46742</v>
          </cell>
        </row>
        <row r="2548">
          <cell r="B2548">
            <v>46743</v>
          </cell>
        </row>
        <row r="2549">
          <cell r="B2549">
            <v>46744</v>
          </cell>
        </row>
        <row r="2550">
          <cell r="B2550">
            <v>46745</v>
          </cell>
        </row>
        <row r="2551">
          <cell r="B2551">
            <v>46746</v>
          </cell>
        </row>
        <row r="2552">
          <cell r="B2552">
            <v>46747</v>
          </cell>
        </row>
        <row r="2553">
          <cell r="B2553">
            <v>46748</v>
          </cell>
        </row>
        <row r="2554">
          <cell r="B2554">
            <v>46749</v>
          </cell>
        </row>
        <row r="2555">
          <cell r="B2555">
            <v>46750</v>
          </cell>
        </row>
        <row r="2556">
          <cell r="B2556">
            <v>46751</v>
          </cell>
        </row>
        <row r="2557">
          <cell r="B2557">
            <v>46752</v>
          </cell>
        </row>
        <row r="2558">
          <cell r="B2558">
            <v>46753</v>
          </cell>
        </row>
        <row r="2559">
          <cell r="B2559">
            <v>46754</v>
          </cell>
        </row>
        <row r="2560">
          <cell r="B2560">
            <v>46755</v>
          </cell>
        </row>
        <row r="2561">
          <cell r="B2561">
            <v>46756</v>
          </cell>
        </row>
        <row r="2562">
          <cell r="B2562">
            <v>46757</v>
          </cell>
        </row>
        <row r="2563">
          <cell r="B2563">
            <v>46758</v>
          </cell>
        </row>
        <row r="2564">
          <cell r="B2564">
            <v>46759</v>
          </cell>
        </row>
        <row r="2565">
          <cell r="B2565">
            <v>46760</v>
          </cell>
        </row>
        <row r="2566">
          <cell r="B2566">
            <v>46761</v>
          </cell>
        </row>
        <row r="2567">
          <cell r="B2567">
            <v>46762</v>
          </cell>
        </row>
        <row r="2568">
          <cell r="B2568">
            <v>46763</v>
          </cell>
        </row>
        <row r="2569">
          <cell r="B2569">
            <v>46764</v>
          </cell>
        </row>
        <row r="2570">
          <cell r="B2570">
            <v>46765</v>
          </cell>
        </row>
        <row r="2571">
          <cell r="B2571">
            <v>46766</v>
          </cell>
        </row>
        <row r="2572">
          <cell r="B2572">
            <v>46767</v>
          </cell>
        </row>
        <row r="2573">
          <cell r="B2573">
            <v>46768</v>
          </cell>
        </row>
        <row r="2574">
          <cell r="B2574">
            <v>46769</v>
          </cell>
        </row>
        <row r="2575">
          <cell r="B2575">
            <v>46770</v>
          </cell>
        </row>
        <row r="2576">
          <cell r="B2576">
            <v>46771</v>
          </cell>
        </row>
        <row r="2577">
          <cell r="B2577">
            <v>46772</v>
          </cell>
        </row>
        <row r="2578">
          <cell r="B2578">
            <v>46773</v>
          </cell>
        </row>
        <row r="2579">
          <cell r="B2579">
            <v>46774</v>
          </cell>
        </row>
        <row r="2580">
          <cell r="B2580">
            <v>46775</v>
          </cell>
        </row>
        <row r="2581">
          <cell r="B2581">
            <v>46776</v>
          </cell>
        </row>
        <row r="2582">
          <cell r="B2582">
            <v>46777</v>
          </cell>
        </row>
        <row r="2583">
          <cell r="B2583">
            <v>46778</v>
          </cell>
        </row>
        <row r="2584">
          <cell r="B2584">
            <v>46779</v>
          </cell>
        </row>
        <row r="2585">
          <cell r="B2585">
            <v>46780</v>
          </cell>
        </row>
        <row r="2586">
          <cell r="B2586">
            <v>46781</v>
          </cell>
        </row>
        <row r="2587">
          <cell r="B2587">
            <v>46782</v>
          </cell>
        </row>
        <row r="2588">
          <cell r="B2588">
            <v>46783</v>
          </cell>
        </row>
        <row r="2589">
          <cell r="B2589">
            <v>46784</v>
          </cell>
        </row>
        <row r="2590">
          <cell r="B2590">
            <v>46785</v>
          </cell>
        </row>
        <row r="2591">
          <cell r="B2591">
            <v>46786</v>
          </cell>
        </row>
        <row r="2592">
          <cell r="B2592">
            <v>46787</v>
          </cell>
        </row>
        <row r="2593">
          <cell r="B2593">
            <v>46788</v>
          </cell>
        </row>
        <row r="2594">
          <cell r="B2594">
            <v>46789</v>
          </cell>
        </row>
        <row r="2595">
          <cell r="B2595">
            <v>46790</v>
          </cell>
        </row>
        <row r="2596">
          <cell r="B2596">
            <v>46791</v>
          </cell>
        </row>
        <row r="2597">
          <cell r="B2597">
            <v>46792</v>
          </cell>
        </row>
        <row r="2598">
          <cell r="B2598">
            <v>46793</v>
          </cell>
        </row>
        <row r="2599">
          <cell r="B2599">
            <v>46794</v>
          </cell>
        </row>
        <row r="2600">
          <cell r="B2600">
            <v>46795</v>
          </cell>
        </row>
        <row r="2601">
          <cell r="B2601">
            <v>46796</v>
          </cell>
        </row>
        <row r="2602">
          <cell r="B2602">
            <v>46797</v>
          </cell>
        </row>
        <row r="2603">
          <cell r="B2603">
            <v>46798</v>
          </cell>
        </row>
        <row r="2604">
          <cell r="B2604">
            <v>46799</v>
          </cell>
        </row>
        <row r="2605">
          <cell r="B2605">
            <v>46800</v>
          </cell>
        </row>
        <row r="2606">
          <cell r="B2606">
            <v>46801</v>
          </cell>
        </row>
        <row r="2607">
          <cell r="B2607">
            <v>46802</v>
          </cell>
        </row>
        <row r="2608">
          <cell r="B2608">
            <v>46803</v>
          </cell>
        </row>
        <row r="2609">
          <cell r="B2609">
            <v>46804</v>
          </cell>
        </row>
        <row r="2610">
          <cell r="B2610">
            <v>46805</v>
          </cell>
        </row>
        <row r="2611">
          <cell r="B2611">
            <v>46806</v>
          </cell>
        </row>
        <row r="2612">
          <cell r="B2612">
            <v>46807</v>
          </cell>
        </row>
        <row r="2613">
          <cell r="B2613">
            <v>46808</v>
          </cell>
        </row>
        <row r="2614">
          <cell r="B2614">
            <v>46809</v>
          </cell>
        </row>
        <row r="2615">
          <cell r="B2615">
            <v>46810</v>
          </cell>
        </row>
        <row r="2616">
          <cell r="B2616">
            <v>46811</v>
          </cell>
        </row>
        <row r="2617">
          <cell r="B2617">
            <v>46812</v>
          </cell>
        </row>
        <row r="2618">
          <cell r="B2618">
            <v>46813</v>
          </cell>
        </row>
        <row r="2619">
          <cell r="B2619">
            <v>46814</v>
          </cell>
        </row>
        <row r="2620">
          <cell r="B2620">
            <v>46815</v>
          </cell>
        </row>
        <row r="2621">
          <cell r="B2621">
            <v>46816</v>
          </cell>
        </row>
        <row r="2622">
          <cell r="B2622">
            <v>46817</v>
          </cell>
        </row>
        <row r="2623">
          <cell r="B2623">
            <v>46818</v>
          </cell>
        </row>
        <row r="2624">
          <cell r="B2624">
            <v>46819</v>
          </cell>
        </row>
        <row r="2625">
          <cell r="B2625">
            <v>46820</v>
          </cell>
        </row>
        <row r="2626">
          <cell r="B2626">
            <v>46821</v>
          </cell>
        </row>
        <row r="2627">
          <cell r="B2627">
            <v>46822</v>
          </cell>
        </row>
        <row r="2628">
          <cell r="B2628">
            <v>46823</v>
          </cell>
        </row>
        <row r="2629">
          <cell r="B2629">
            <v>46824</v>
          </cell>
        </row>
        <row r="2630">
          <cell r="B2630">
            <v>46825</v>
          </cell>
        </row>
        <row r="2631">
          <cell r="B2631">
            <v>46826</v>
          </cell>
        </row>
        <row r="2632">
          <cell r="B2632">
            <v>46827</v>
          </cell>
        </row>
        <row r="2633">
          <cell r="B2633">
            <v>46828</v>
          </cell>
        </row>
        <row r="2634">
          <cell r="B2634">
            <v>46829</v>
          </cell>
        </row>
        <row r="2635">
          <cell r="B2635">
            <v>46830</v>
          </cell>
        </row>
        <row r="2636">
          <cell r="B2636">
            <v>46831</v>
          </cell>
        </row>
        <row r="2637">
          <cell r="B2637">
            <v>46832</v>
          </cell>
        </row>
        <row r="2638">
          <cell r="B2638">
            <v>46833</v>
          </cell>
        </row>
        <row r="2639">
          <cell r="B2639">
            <v>46834</v>
          </cell>
        </row>
        <row r="2640">
          <cell r="B2640">
            <v>46835</v>
          </cell>
        </row>
        <row r="2641">
          <cell r="B2641">
            <v>46836</v>
          </cell>
        </row>
        <row r="2642">
          <cell r="B2642">
            <v>46837</v>
          </cell>
        </row>
        <row r="2643">
          <cell r="B2643">
            <v>46838</v>
          </cell>
        </row>
        <row r="2644">
          <cell r="B2644">
            <v>46839</v>
          </cell>
        </row>
        <row r="2645">
          <cell r="B2645">
            <v>46840</v>
          </cell>
        </row>
        <row r="2646">
          <cell r="B2646">
            <v>46841</v>
          </cell>
        </row>
        <row r="2647">
          <cell r="B2647">
            <v>46842</v>
          </cell>
        </row>
        <row r="2648">
          <cell r="B2648">
            <v>46843</v>
          </cell>
        </row>
        <row r="2649">
          <cell r="B2649">
            <v>46844</v>
          </cell>
        </row>
        <row r="2650">
          <cell r="B2650">
            <v>46845</v>
          </cell>
        </row>
        <row r="2651">
          <cell r="B2651">
            <v>46846</v>
          </cell>
        </row>
        <row r="2652">
          <cell r="B2652">
            <v>46847</v>
          </cell>
        </row>
        <row r="2653">
          <cell r="B2653">
            <v>46848</v>
          </cell>
        </row>
        <row r="2654">
          <cell r="B2654">
            <v>46849</v>
          </cell>
        </row>
        <row r="2655">
          <cell r="B2655">
            <v>46850</v>
          </cell>
        </row>
        <row r="2656">
          <cell r="B2656">
            <v>46851</v>
          </cell>
        </row>
        <row r="2657">
          <cell r="B2657">
            <v>46852</v>
          </cell>
        </row>
        <row r="2658">
          <cell r="B2658">
            <v>46853</v>
          </cell>
        </row>
        <row r="2659">
          <cell r="B2659">
            <v>46854</v>
          </cell>
        </row>
        <row r="2660">
          <cell r="B2660">
            <v>46855</v>
          </cell>
        </row>
        <row r="2661">
          <cell r="B2661">
            <v>46856</v>
          </cell>
        </row>
        <row r="2662">
          <cell r="B2662">
            <v>46857</v>
          </cell>
        </row>
        <row r="2663">
          <cell r="B2663">
            <v>46858</v>
          </cell>
        </row>
        <row r="2664">
          <cell r="B2664">
            <v>46859</v>
          </cell>
        </row>
        <row r="2665">
          <cell r="B2665">
            <v>46860</v>
          </cell>
        </row>
        <row r="2666">
          <cell r="B2666">
            <v>46861</v>
          </cell>
        </row>
        <row r="2667">
          <cell r="B2667">
            <v>46862</v>
          </cell>
        </row>
        <row r="2668">
          <cell r="B2668">
            <v>46863</v>
          </cell>
        </row>
        <row r="2669">
          <cell r="B2669">
            <v>46864</v>
          </cell>
        </row>
        <row r="2670">
          <cell r="B2670">
            <v>46865</v>
          </cell>
        </row>
        <row r="2671">
          <cell r="B2671">
            <v>46866</v>
          </cell>
        </row>
        <row r="2672">
          <cell r="B2672">
            <v>46867</v>
          </cell>
        </row>
        <row r="2673">
          <cell r="B2673">
            <v>46868</v>
          </cell>
        </row>
        <row r="2674">
          <cell r="B2674">
            <v>46869</v>
          </cell>
        </row>
        <row r="2675">
          <cell r="B2675">
            <v>46870</v>
          </cell>
        </row>
        <row r="2676">
          <cell r="B2676">
            <v>46871</v>
          </cell>
        </row>
        <row r="2677">
          <cell r="B2677">
            <v>46872</v>
          </cell>
        </row>
        <row r="2678">
          <cell r="B2678">
            <v>46873</v>
          </cell>
        </row>
        <row r="2679">
          <cell r="B2679">
            <v>46874</v>
          </cell>
        </row>
        <row r="2680">
          <cell r="B2680">
            <v>46875</v>
          </cell>
        </row>
        <row r="2681">
          <cell r="B2681">
            <v>46876</v>
          </cell>
        </row>
        <row r="2682">
          <cell r="B2682">
            <v>46877</v>
          </cell>
        </row>
        <row r="2683">
          <cell r="B2683">
            <v>46878</v>
          </cell>
        </row>
        <row r="2684">
          <cell r="B2684">
            <v>46879</v>
          </cell>
        </row>
        <row r="2685">
          <cell r="B2685">
            <v>46880</v>
          </cell>
        </row>
        <row r="2686">
          <cell r="B2686">
            <v>46881</v>
          </cell>
        </row>
        <row r="2687">
          <cell r="B2687">
            <v>46882</v>
          </cell>
        </row>
        <row r="2688">
          <cell r="B2688">
            <v>46883</v>
          </cell>
        </row>
        <row r="2689">
          <cell r="B2689">
            <v>46884</v>
          </cell>
        </row>
        <row r="2690">
          <cell r="B2690">
            <v>46885</v>
          </cell>
        </row>
        <row r="2691">
          <cell r="B2691">
            <v>46886</v>
          </cell>
        </row>
        <row r="2692">
          <cell r="B2692">
            <v>46887</v>
          </cell>
        </row>
        <row r="2693">
          <cell r="B2693">
            <v>46888</v>
          </cell>
        </row>
        <row r="2694">
          <cell r="B2694">
            <v>46889</v>
          </cell>
        </row>
        <row r="2695">
          <cell r="B2695">
            <v>46890</v>
          </cell>
        </row>
        <row r="2696">
          <cell r="B2696">
            <v>46891</v>
          </cell>
        </row>
        <row r="2697">
          <cell r="B2697">
            <v>46892</v>
          </cell>
        </row>
        <row r="2698">
          <cell r="B2698">
            <v>46893</v>
          </cell>
        </row>
        <row r="2699">
          <cell r="B2699">
            <v>46894</v>
          </cell>
        </row>
        <row r="2700">
          <cell r="B2700">
            <v>46895</v>
          </cell>
        </row>
        <row r="2701">
          <cell r="B2701">
            <v>46896</v>
          </cell>
        </row>
        <row r="2702">
          <cell r="B2702">
            <v>46897</v>
          </cell>
        </row>
        <row r="2703">
          <cell r="B2703">
            <v>46898</v>
          </cell>
        </row>
        <row r="2704">
          <cell r="B2704">
            <v>46899</v>
          </cell>
        </row>
        <row r="2705">
          <cell r="B2705">
            <v>46900</v>
          </cell>
        </row>
        <row r="2706">
          <cell r="B2706">
            <v>46901</v>
          </cell>
        </row>
        <row r="2707">
          <cell r="B2707">
            <v>46902</v>
          </cell>
        </row>
        <row r="2708">
          <cell r="B2708">
            <v>46903</v>
          </cell>
        </row>
        <row r="2709">
          <cell r="B2709">
            <v>46904</v>
          </cell>
        </row>
        <row r="2710">
          <cell r="B2710">
            <v>46905</v>
          </cell>
        </row>
        <row r="2711">
          <cell r="B2711">
            <v>46906</v>
          </cell>
        </row>
        <row r="2712">
          <cell r="B2712">
            <v>46907</v>
          </cell>
        </row>
        <row r="2713">
          <cell r="B2713">
            <v>46908</v>
          </cell>
        </row>
        <row r="2714">
          <cell r="B2714">
            <v>46909</v>
          </cell>
        </row>
        <row r="2715">
          <cell r="B2715">
            <v>46910</v>
          </cell>
        </row>
        <row r="2716">
          <cell r="B2716">
            <v>46911</v>
          </cell>
        </row>
        <row r="2717">
          <cell r="B2717">
            <v>46912</v>
          </cell>
        </row>
        <row r="2718">
          <cell r="B2718">
            <v>46913</v>
          </cell>
        </row>
        <row r="2719">
          <cell r="B2719">
            <v>46914</v>
          </cell>
        </row>
        <row r="2720">
          <cell r="B2720">
            <v>46915</v>
          </cell>
        </row>
        <row r="2721">
          <cell r="B2721">
            <v>46916</v>
          </cell>
        </row>
        <row r="2722">
          <cell r="B2722">
            <v>46917</v>
          </cell>
        </row>
        <row r="2723">
          <cell r="B2723">
            <v>46918</v>
          </cell>
        </row>
        <row r="2724">
          <cell r="B2724">
            <v>46919</v>
          </cell>
        </row>
        <row r="2725">
          <cell r="B2725">
            <v>46920</v>
          </cell>
        </row>
        <row r="2726">
          <cell r="B2726">
            <v>46921</v>
          </cell>
        </row>
        <row r="2727">
          <cell r="B2727">
            <v>46922</v>
          </cell>
        </row>
        <row r="2728">
          <cell r="B2728">
            <v>46923</v>
          </cell>
        </row>
        <row r="2729">
          <cell r="B2729">
            <v>46924</v>
          </cell>
        </row>
        <row r="2730">
          <cell r="B2730">
            <v>46925</v>
          </cell>
        </row>
        <row r="2731">
          <cell r="B2731">
            <v>46926</v>
          </cell>
        </row>
        <row r="2732">
          <cell r="B2732">
            <v>46927</v>
          </cell>
        </row>
        <row r="2733">
          <cell r="B2733">
            <v>46928</v>
          </cell>
        </row>
        <row r="2734">
          <cell r="B2734">
            <v>46929</v>
          </cell>
        </row>
        <row r="2735">
          <cell r="B2735">
            <v>46930</v>
          </cell>
        </row>
        <row r="2736">
          <cell r="B2736">
            <v>46931</v>
          </cell>
        </row>
        <row r="2737">
          <cell r="B2737">
            <v>46932</v>
          </cell>
        </row>
        <row r="2738">
          <cell r="B2738">
            <v>46933</v>
          </cell>
        </row>
        <row r="2739">
          <cell r="B2739">
            <v>46934</v>
          </cell>
        </row>
        <row r="2740">
          <cell r="B2740">
            <v>46935</v>
          </cell>
        </row>
        <row r="2741">
          <cell r="B2741">
            <v>46936</v>
          </cell>
        </row>
        <row r="2742">
          <cell r="B2742">
            <v>46937</v>
          </cell>
        </row>
        <row r="2743">
          <cell r="B2743">
            <v>46938</v>
          </cell>
        </row>
        <row r="2744">
          <cell r="B2744">
            <v>46939</v>
          </cell>
        </row>
        <row r="2745">
          <cell r="B2745">
            <v>46940</v>
          </cell>
        </row>
        <row r="2746">
          <cell r="B2746">
            <v>46941</v>
          </cell>
        </row>
        <row r="2747">
          <cell r="B2747">
            <v>46942</v>
          </cell>
        </row>
        <row r="2748">
          <cell r="B2748">
            <v>46943</v>
          </cell>
        </row>
        <row r="2749">
          <cell r="B2749">
            <v>46944</v>
          </cell>
        </row>
        <row r="2750">
          <cell r="B2750">
            <v>46945</v>
          </cell>
        </row>
        <row r="2751">
          <cell r="B2751">
            <v>46946</v>
          </cell>
        </row>
        <row r="2752">
          <cell r="B2752">
            <v>46947</v>
          </cell>
        </row>
        <row r="2753">
          <cell r="B2753">
            <v>46948</v>
          </cell>
        </row>
        <row r="2754">
          <cell r="B2754">
            <v>46949</v>
          </cell>
        </row>
        <row r="2755">
          <cell r="B2755">
            <v>46950</v>
          </cell>
        </row>
        <row r="2756">
          <cell r="B2756">
            <v>46951</v>
          </cell>
        </row>
        <row r="2757">
          <cell r="B2757">
            <v>46952</v>
          </cell>
        </row>
        <row r="2758">
          <cell r="B2758">
            <v>46953</v>
          </cell>
        </row>
        <row r="2759">
          <cell r="B2759">
            <v>46954</v>
          </cell>
        </row>
        <row r="2760">
          <cell r="B2760">
            <v>46955</v>
          </cell>
        </row>
        <row r="2761">
          <cell r="B2761">
            <v>46956</v>
          </cell>
        </row>
        <row r="2762">
          <cell r="B2762">
            <v>46957</v>
          </cell>
        </row>
        <row r="2763">
          <cell r="B2763">
            <v>46958</v>
          </cell>
        </row>
        <row r="2764">
          <cell r="B2764">
            <v>46959</v>
          </cell>
        </row>
        <row r="2765">
          <cell r="B2765">
            <v>46960</v>
          </cell>
        </row>
        <row r="2766">
          <cell r="B2766">
            <v>46961</v>
          </cell>
        </row>
        <row r="2767">
          <cell r="B2767">
            <v>46962</v>
          </cell>
        </row>
        <row r="2768">
          <cell r="B2768">
            <v>46963</v>
          </cell>
        </row>
        <row r="2769">
          <cell r="B2769">
            <v>46964</v>
          </cell>
        </row>
        <row r="2770">
          <cell r="B2770">
            <v>46965</v>
          </cell>
        </row>
        <row r="2771">
          <cell r="B2771">
            <v>46966</v>
          </cell>
        </row>
        <row r="2772">
          <cell r="B2772">
            <v>46967</v>
          </cell>
        </row>
        <row r="2773">
          <cell r="B2773">
            <v>46968</v>
          </cell>
        </row>
        <row r="2774">
          <cell r="B2774">
            <v>46969</v>
          </cell>
        </row>
        <row r="2775">
          <cell r="B2775">
            <v>46970</v>
          </cell>
        </row>
        <row r="2776">
          <cell r="B2776">
            <v>46971</v>
          </cell>
        </row>
        <row r="2777">
          <cell r="B2777">
            <v>46972</v>
          </cell>
        </row>
        <row r="2778">
          <cell r="B2778">
            <v>46973</v>
          </cell>
        </row>
        <row r="2779">
          <cell r="B2779">
            <v>46974</v>
          </cell>
        </row>
        <row r="2780">
          <cell r="B2780">
            <v>46975</v>
          </cell>
        </row>
        <row r="2781">
          <cell r="B2781">
            <v>46976</v>
          </cell>
        </row>
        <row r="2782">
          <cell r="B2782">
            <v>46977</v>
          </cell>
        </row>
        <row r="2783">
          <cell r="B2783">
            <v>46978</v>
          </cell>
        </row>
        <row r="2784">
          <cell r="B2784">
            <v>46979</v>
          </cell>
        </row>
        <row r="2785">
          <cell r="B2785">
            <v>46980</v>
          </cell>
        </row>
        <row r="2786">
          <cell r="B2786">
            <v>46981</v>
          </cell>
        </row>
        <row r="2787">
          <cell r="B2787">
            <v>46982</v>
          </cell>
        </row>
        <row r="2788">
          <cell r="B2788">
            <v>46983</v>
          </cell>
        </row>
        <row r="2789">
          <cell r="B2789">
            <v>46984</v>
          </cell>
        </row>
        <row r="2790">
          <cell r="B2790">
            <v>46985</v>
          </cell>
        </row>
        <row r="2791">
          <cell r="B2791">
            <v>46986</v>
          </cell>
        </row>
        <row r="2792">
          <cell r="B2792">
            <v>46987</v>
          </cell>
        </row>
        <row r="2793">
          <cell r="B2793">
            <v>46988</v>
          </cell>
        </row>
        <row r="2794">
          <cell r="B2794">
            <v>46989</v>
          </cell>
        </row>
        <row r="2795">
          <cell r="B2795">
            <v>46990</v>
          </cell>
        </row>
        <row r="2796">
          <cell r="B2796">
            <v>46991</v>
          </cell>
        </row>
        <row r="2797">
          <cell r="B2797">
            <v>46992</v>
          </cell>
        </row>
        <row r="2798">
          <cell r="B2798">
            <v>46993</v>
          </cell>
        </row>
        <row r="2799">
          <cell r="B2799">
            <v>46994</v>
          </cell>
        </row>
        <row r="2800">
          <cell r="B2800">
            <v>46995</v>
          </cell>
        </row>
        <row r="2801">
          <cell r="B2801">
            <v>46996</v>
          </cell>
        </row>
        <row r="2802">
          <cell r="B2802">
            <v>46997</v>
          </cell>
        </row>
        <row r="2803">
          <cell r="B2803">
            <v>46998</v>
          </cell>
        </row>
        <row r="2804">
          <cell r="B2804">
            <v>46999</v>
          </cell>
        </row>
        <row r="2805">
          <cell r="B2805">
            <v>47000</v>
          </cell>
        </row>
        <row r="2806">
          <cell r="B2806">
            <v>47001</v>
          </cell>
        </row>
        <row r="2807">
          <cell r="B2807">
            <v>47002</v>
          </cell>
        </row>
        <row r="2808">
          <cell r="B2808">
            <v>47003</v>
          </cell>
        </row>
        <row r="2809">
          <cell r="B2809">
            <v>47004</v>
          </cell>
        </row>
        <row r="2810">
          <cell r="B2810">
            <v>47005</v>
          </cell>
        </row>
        <row r="2811">
          <cell r="B2811">
            <v>47006</v>
          </cell>
        </row>
        <row r="2812">
          <cell r="B2812">
            <v>47007</v>
          </cell>
        </row>
        <row r="2813">
          <cell r="B2813">
            <v>47008</v>
          </cell>
        </row>
        <row r="2814">
          <cell r="B2814">
            <v>47009</v>
          </cell>
        </row>
        <row r="2815">
          <cell r="B2815">
            <v>47010</v>
          </cell>
        </row>
        <row r="2816">
          <cell r="B2816">
            <v>47011</v>
          </cell>
        </row>
        <row r="2817">
          <cell r="B2817">
            <v>47012</v>
          </cell>
        </row>
        <row r="2818">
          <cell r="B2818">
            <v>47013</v>
          </cell>
        </row>
        <row r="2819">
          <cell r="B2819">
            <v>47014</v>
          </cell>
        </row>
        <row r="2820">
          <cell r="B2820">
            <v>47015</v>
          </cell>
        </row>
        <row r="2821">
          <cell r="B2821">
            <v>47016</v>
          </cell>
        </row>
        <row r="2822">
          <cell r="B2822">
            <v>47017</v>
          </cell>
        </row>
        <row r="2823">
          <cell r="B2823">
            <v>47018</v>
          </cell>
        </row>
        <row r="2824">
          <cell r="B2824">
            <v>47019</v>
          </cell>
        </row>
        <row r="2825">
          <cell r="B2825">
            <v>47020</v>
          </cell>
        </row>
        <row r="2826">
          <cell r="B2826">
            <v>47021</v>
          </cell>
        </row>
        <row r="2827">
          <cell r="B2827">
            <v>47022</v>
          </cell>
        </row>
        <row r="2828">
          <cell r="B2828">
            <v>47023</v>
          </cell>
        </row>
        <row r="2829">
          <cell r="B2829">
            <v>47024</v>
          </cell>
        </row>
        <row r="2830">
          <cell r="B2830">
            <v>47025</v>
          </cell>
        </row>
        <row r="2831">
          <cell r="B2831">
            <v>47026</v>
          </cell>
        </row>
        <row r="2832">
          <cell r="B2832">
            <v>47027</v>
          </cell>
        </row>
        <row r="2833">
          <cell r="B2833">
            <v>47028</v>
          </cell>
        </row>
        <row r="2834">
          <cell r="B2834">
            <v>47029</v>
          </cell>
        </row>
        <row r="2835">
          <cell r="B2835">
            <v>47030</v>
          </cell>
        </row>
        <row r="2836">
          <cell r="B2836">
            <v>47031</v>
          </cell>
        </row>
        <row r="2837">
          <cell r="B2837">
            <v>47032</v>
          </cell>
        </row>
        <row r="2838">
          <cell r="B2838">
            <v>47033</v>
          </cell>
        </row>
        <row r="2839">
          <cell r="B2839">
            <v>47034</v>
          </cell>
        </row>
        <row r="2840">
          <cell r="B2840">
            <v>47035</v>
          </cell>
        </row>
        <row r="2841">
          <cell r="B2841">
            <v>47036</v>
          </cell>
        </row>
        <row r="2842">
          <cell r="B2842">
            <v>47037</v>
          </cell>
        </row>
        <row r="2843">
          <cell r="B2843">
            <v>47038</v>
          </cell>
        </row>
        <row r="2844">
          <cell r="B2844">
            <v>47039</v>
          </cell>
        </row>
        <row r="2845">
          <cell r="B2845">
            <v>47040</v>
          </cell>
        </row>
        <row r="2846">
          <cell r="B2846">
            <v>47041</v>
          </cell>
        </row>
        <row r="2847">
          <cell r="B2847">
            <v>47042</v>
          </cell>
        </row>
        <row r="2848">
          <cell r="B2848">
            <v>47043</v>
          </cell>
        </row>
        <row r="2849">
          <cell r="B2849">
            <v>47044</v>
          </cell>
        </row>
        <row r="2850">
          <cell r="B2850">
            <v>47045</v>
          </cell>
        </row>
        <row r="2851">
          <cell r="B2851">
            <v>47046</v>
          </cell>
        </row>
        <row r="2852">
          <cell r="B2852">
            <v>47047</v>
          </cell>
        </row>
        <row r="2853">
          <cell r="B2853">
            <v>47048</v>
          </cell>
        </row>
        <row r="2854">
          <cell r="B2854">
            <v>47049</v>
          </cell>
        </row>
        <row r="2855">
          <cell r="B2855">
            <v>47050</v>
          </cell>
        </row>
        <row r="2856">
          <cell r="B2856">
            <v>47051</v>
          </cell>
        </row>
        <row r="2857">
          <cell r="B2857">
            <v>47052</v>
          </cell>
        </row>
        <row r="2858">
          <cell r="B2858">
            <v>47053</v>
          </cell>
        </row>
        <row r="2859">
          <cell r="B2859">
            <v>47054</v>
          </cell>
        </row>
        <row r="2860">
          <cell r="B2860">
            <v>47055</v>
          </cell>
        </row>
        <row r="2861">
          <cell r="B2861">
            <v>47056</v>
          </cell>
        </row>
        <row r="2862">
          <cell r="B2862">
            <v>47057</v>
          </cell>
        </row>
        <row r="2863">
          <cell r="B2863">
            <v>47058</v>
          </cell>
        </row>
        <row r="2864">
          <cell r="B2864">
            <v>47059</v>
          </cell>
        </row>
        <row r="2865">
          <cell r="B2865">
            <v>47060</v>
          </cell>
        </row>
        <row r="2866">
          <cell r="B2866">
            <v>47061</v>
          </cell>
        </row>
        <row r="2867">
          <cell r="B2867">
            <v>47062</v>
          </cell>
        </row>
        <row r="2868">
          <cell r="B2868">
            <v>47063</v>
          </cell>
        </row>
        <row r="2869">
          <cell r="B2869">
            <v>47064</v>
          </cell>
        </row>
        <row r="2870">
          <cell r="B2870">
            <v>47065</v>
          </cell>
        </row>
        <row r="2871">
          <cell r="B2871">
            <v>47066</v>
          </cell>
        </row>
        <row r="2872">
          <cell r="B2872">
            <v>47067</v>
          </cell>
        </row>
        <row r="2873">
          <cell r="B2873">
            <v>47068</v>
          </cell>
        </row>
        <row r="2874">
          <cell r="B2874">
            <v>47069</v>
          </cell>
        </row>
        <row r="2875">
          <cell r="B2875">
            <v>47070</v>
          </cell>
        </row>
        <row r="2876">
          <cell r="B2876">
            <v>47071</v>
          </cell>
        </row>
        <row r="2877">
          <cell r="B2877">
            <v>47072</v>
          </cell>
        </row>
        <row r="2878">
          <cell r="B2878">
            <v>47073</v>
          </cell>
        </row>
        <row r="2879">
          <cell r="B2879">
            <v>47074</v>
          </cell>
        </row>
        <row r="2880">
          <cell r="B2880">
            <v>47075</v>
          </cell>
        </row>
        <row r="2881">
          <cell r="B2881">
            <v>47076</v>
          </cell>
        </row>
        <row r="2882">
          <cell r="B2882">
            <v>47077</v>
          </cell>
        </row>
        <row r="2883">
          <cell r="B2883">
            <v>47078</v>
          </cell>
        </row>
        <row r="2884">
          <cell r="B2884">
            <v>47079</v>
          </cell>
        </row>
        <row r="2885">
          <cell r="B2885">
            <v>47080</v>
          </cell>
        </row>
        <row r="2886">
          <cell r="B2886">
            <v>47081</v>
          </cell>
        </row>
        <row r="2887">
          <cell r="B2887">
            <v>47082</v>
          </cell>
        </row>
        <row r="2888">
          <cell r="B2888">
            <v>47083</v>
          </cell>
        </row>
        <row r="2889">
          <cell r="B2889">
            <v>47084</v>
          </cell>
        </row>
        <row r="2890">
          <cell r="B2890">
            <v>47085</v>
          </cell>
        </row>
        <row r="2891">
          <cell r="B2891">
            <v>47086</v>
          </cell>
        </row>
        <row r="2892">
          <cell r="B2892">
            <v>47087</v>
          </cell>
        </row>
        <row r="2893">
          <cell r="B2893">
            <v>47088</v>
          </cell>
        </row>
        <row r="2894">
          <cell r="B2894">
            <v>47089</v>
          </cell>
        </row>
        <row r="2895">
          <cell r="B2895">
            <v>47090</v>
          </cell>
        </row>
        <row r="2896">
          <cell r="B2896">
            <v>47091</v>
          </cell>
        </row>
        <row r="2897">
          <cell r="B2897">
            <v>47092</v>
          </cell>
        </row>
        <row r="2898">
          <cell r="B2898">
            <v>47093</v>
          </cell>
        </row>
        <row r="2899">
          <cell r="B2899">
            <v>47094</v>
          </cell>
        </row>
        <row r="2900">
          <cell r="B2900">
            <v>47095</v>
          </cell>
        </row>
        <row r="2901">
          <cell r="B2901">
            <v>47096</v>
          </cell>
        </row>
        <row r="2902">
          <cell r="B2902">
            <v>47097</v>
          </cell>
        </row>
        <row r="2903">
          <cell r="B2903">
            <v>47098</v>
          </cell>
        </row>
        <row r="2904">
          <cell r="B2904">
            <v>47099</v>
          </cell>
        </row>
        <row r="2905">
          <cell r="B2905">
            <v>47100</v>
          </cell>
        </row>
        <row r="2906">
          <cell r="B2906">
            <v>47101</v>
          </cell>
        </row>
        <row r="2907">
          <cell r="B2907">
            <v>47102</v>
          </cell>
        </row>
        <row r="2908">
          <cell r="B2908">
            <v>47103</v>
          </cell>
        </row>
        <row r="2909">
          <cell r="B2909">
            <v>47104</v>
          </cell>
        </row>
        <row r="2910">
          <cell r="B2910">
            <v>47105</v>
          </cell>
        </row>
        <row r="2911">
          <cell r="B2911">
            <v>47106</v>
          </cell>
        </row>
        <row r="2912">
          <cell r="B2912">
            <v>47107</v>
          </cell>
        </row>
        <row r="2913">
          <cell r="B2913">
            <v>47108</v>
          </cell>
        </row>
        <row r="2914">
          <cell r="B2914">
            <v>47109</v>
          </cell>
        </row>
        <row r="2915">
          <cell r="B2915">
            <v>47110</v>
          </cell>
        </row>
        <row r="2916">
          <cell r="B2916">
            <v>47111</v>
          </cell>
        </row>
        <row r="2917">
          <cell r="B2917">
            <v>47112</v>
          </cell>
        </row>
        <row r="2918">
          <cell r="B2918">
            <v>47113</v>
          </cell>
        </row>
        <row r="2919">
          <cell r="B2919">
            <v>47114</v>
          </cell>
        </row>
        <row r="2920">
          <cell r="B2920">
            <v>47115</v>
          </cell>
        </row>
        <row r="2921">
          <cell r="B2921">
            <v>47116</v>
          </cell>
        </row>
        <row r="2922">
          <cell r="B2922">
            <v>47117</v>
          </cell>
        </row>
        <row r="2923">
          <cell r="B2923">
            <v>47118</v>
          </cell>
        </row>
        <row r="2924">
          <cell r="B2924">
            <v>47119</v>
          </cell>
        </row>
        <row r="2925">
          <cell r="B2925">
            <v>47120</v>
          </cell>
        </row>
        <row r="2926">
          <cell r="B2926">
            <v>47121</v>
          </cell>
        </row>
        <row r="2927">
          <cell r="B2927">
            <v>47122</v>
          </cell>
        </row>
        <row r="2928">
          <cell r="B2928">
            <v>47123</v>
          </cell>
        </row>
        <row r="2929">
          <cell r="B2929">
            <v>47124</v>
          </cell>
        </row>
        <row r="2930">
          <cell r="B2930">
            <v>47125</v>
          </cell>
        </row>
        <row r="2931">
          <cell r="B2931">
            <v>47126</v>
          </cell>
        </row>
        <row r="2932">
          <cell r="B2932">
            <v>47127</v>
          </cell>
        </row>
        <row r="2933">
          <cell r="B2933">
            <v>47128</v>
          </cell>
        </row>
        <row r="2934">
          <cell r="B2934">
            <v>47129</v>
          </cell>
        </row>
        <row r="2935">
          <cell r="B2935">
            <v>47130</v>
          </cell>
        </row>
        <row r="2936">
          <cell r="B2936">
            <v>47131</v>
          </cell>
        </row>
        <row r="2937">
          <cell r="B2937">
            <v>47132</v>
          </cell>
        </row>
        <row r="2938">
          <cell r="B2938">
            <v>47133</v>
          </cell>
        </row>
        <row r="2939">
          <cell r="B2939">
            <v>47134</v>
          </cell>
        </row>
        <row r="2940">
          <cell r="B2940">
            <v>47135</v>
          </cell>
        </row>
        <row r="2941">
          <cell r="B2941">
            <v>47136</v>
          </cell>
        </row>
        <row r="2942">
          <cell r="B2942">
            <v>47137</v>
          </cell>
        </row>
        <row r="2943">
          <cell r="B2943">
            <v>47138</v>
          </cell>
        </row>
        <row r="2944">
          <cell r="B2944">
            <v>47139</v>
          </cell>
        </row>
        <row r="2945">
          <cell r="B2945">
            <v>47140</v>
          </cell>
        </row>
        <row r="2946">
          <cell r="B2946">
            <v>47141</v>
          </cell>
        </row>
        <row r="2947">
          <cell r="B2947">
            <v>47142</v>
          </cell>
        </row>
        <row r="2948">
          <cell r="B2948">
            <v>47143</v>
          </cell>
        </row>
        <row r="2949">
          <cell r="B2949">
            <v>47144</v>
          </cell>
        </row>
        <row r="2950">
          <cell r="B2950">
            <v>47145</v>
          </cell>
        </row>
        <row r="2951">
          <cell r="B2951">
            <v>47146</v>
          </cell>
        </row>
        <row r="2952">
          <cell r="B2952">
            <v>47147</v>
          </cell>
        </row>
        <row r="2953">
          <cell r="B2953">
            <v>47148</v>
          </cell>
        </row>
        <row r="2954">
          <cell r="B2954">
            <v>47149</v>
          </cell>
        </row>
        <row r="2955">
          <cell r="B2955">
            <v>47150</v>
          </cell>
        </row>
        <row r="2956">
          <cell r="B2956">
            <v>47151</v>
          </cell>
        </row>
        <row r="2957">
          <cell r="B2957">
            <v>47152</v>
          </cell>
        </row>
        <row r="2958">
          <cell r="B2958">
            <v>47153</v>
          </cell>
        </row>
        <row r="2959">
          <cell r="B2959">
            <v>47154</v>
          </cell>
        </row>
        <row r="2960">
          <cell r="B2960">
            <v>47155</v>
          </cell>
        </row>
        <row r="2961">
          <cell r="B2961">
            <v>47156</v>
          </cell>
        </row>
        <row r="2962">
          <cell r="B2962">
            <v>47157</v>
          </cell>
        </row>
        <row r="2963">
          <cell r="B2963">
            <v>47158</v>
          </cell>
        </row>
        <row r="2964">
          <cell r="B2964">
            <v>47159</v>
          </cell>
        </row>
        <row r="2965">
          <cell r="B2965">
            <v>47160</v>
          </cell>
        </row>
        <row r="2966">
          <cell r="B2966">
            <v>47161</v>
          </cell>
        </row>
        <row r="2967">
          <cell r="B2967">
            <v>47162</v>
          </cell>
        </row>
        <row r="2968">
          <cell r="B2968">
            <v>47163</v>
          </cell>
        </row>
        <row r="2969">
          <cell r="B2969">
            <v>47164</v>
          </cell>
        </row>
        <row r="2970">
          <cell r="B2970">
            <v>47165</v>
          </cell>
        </row>
        <row r="2971">
          <cell r="B2971">
            <v>47166</v>
          </cell>
        </row>
        <row r="2972">
          <cell r="B2972">
            <v>47167</v>
          </cell>
        </row>
        <row r="2973">
          <cell r="B2973">
            <v>47168</v>
          </cell>
        </row>
        <row r="2974">
          <cell r="B2974">
            <v>47169</v>
          </cell>
        </row>
        <row r="2975">
          <cell r="B2975">
            <v>47170</v>
          </cell>
        </row>
        <row r="2976">
          <cell r="B2976">
            <v>47171</v>
          </cell>
        </row>
        <row r="2977">
          <cell r="B2977">
            <v>47172</v>
          </cell>
        </row>
        <row r="2978">
          <cell r="B2978">
            <v>47173</v>
          </cell>
        </row>
        <row r="2979">
          <cell r="B2979">
            <v>47174</v>
          </cell>
        </row>
        <row r="2980">
          <cell r="B2980">
            <v>47175</v>
          </cell>
        </row>
        <row r="2981">
          <cell r="B2981">
            <v>47176</v>
          </cell>
        </row>
        <row r="2982">
          <cell r="B2982">
            <v>47177</v>
          </cell>
        </row>
        <row r="2983">
          <cell r="B2983">
            <v>47178</v>
          </cell>
        </row>
        <row r="2984">
          <cell r="B2984">
            <v>47179</v>
          </cell>
        </row>
        <row r="2985">
          <cell r="B2985">
            <v>47180</v>
          </cell>
        </row>
        <row r="2986">
          <cell r="B2986">
            <v>47181</v>
          </cell>
        </row>
        <row r="2987">
          <cell r="B2987">
            <v>47182</v>
          </cell>
        </row>
        <row r="2988">
          <cell r="B2988">
            <v>47183</v>
          </cell>
        </row>
        <row r="2989">
          <cell r="B2989">
            <v>47184</v>
          </cell>
        </row>
        <row r="2990">
          <cell r="B2990">
            <v>47185</v>
          </cell>
        </row>
        <row r="2991">
          <cell r="B2991">
            <v>47186</v>
          </cell>
        </row>
        <row r="2992">
          <cell r="B2992">
            <v>47187</v>
          </cell>
        </row>
        <row r="2993">
          <cell r="B2993">
            <v>47188</v>
          </cell>
        </row>
        <row r="2994">
          <cell r="B2994">
            <v>47189</v>
          </cell>
        </row>
        <row r="2995">
          <cell r="B2995">
            <v>47190</v>
          </cell>
        </row>
        <row r="2996">
          <cell r="B2996">
            <v>47191</v>
          </cell>
        </row>
        <row r="2997">
          <cell r="B2997">
            <v>47192</v>
          </cell>
        </row>
        <row r="2998">
          <cell r="B2998">
            <v>47193</v>
          </cell>
        </row>
        <row r="2999">
          <cell r="B2999">
            <v>47194</v>
          </cell>
        </row>
        <row r="3000">
          <cell r="B3000">
            <v>47195</v>
          </cell>
        </row>
        <row r="3001">
          <cell r="B3001">
            <v>47196</v>
          </cell>
        </row>
        <row r="3002">
          <cell r="B3002">
            <v>47197</v>
          </cell>
        </row>
        <row r="3003">
          <cell r="B3003">
            <v>47198</v>
          </cell>
        </row>
        <row r="3004">
          <cell r="B3004">
            <v>47199</v>
          </cell>
        </row>
        <row r="3005">
          <cell r="B3005">
            <v>47200</v>
          </cell>
        </row>
        <row r="3006">
          <cell r="B3006">
            <v>47201</v>
          </cell>
        </row>
        <row r="3007">
          <cell r="B3007">
            <v>47202</v>
          </cell>
        </row>
        <row r="3008">
          <cell r="B3008">
            <v>47203</v>
          </cell>
        </row>
        <row r="3009">
          <cell r="B3009">
            <v>47204</v>
          </cell>
        </row>
        <row r="3010">
          <cell r="B3010">
            <v>47205</v>
          </cell>
        </row>
        <row r="3011">
          <cell r="B3011">
            <v>47206</v>
          </cell>
        </row>
        <row r="3012">
          <cell r="B3012">
            <v>47207</v>
          </cell>
        </row>
        <row r="3013">
          <cell r="B3013">
            <v>47208</v>
          </cell>
        </row>
        <row r="3014">
          <cell r="B3014">
            <v>47209</v>
          </cell>
        </row>
        <row r="3015">
          <cell r="B3015">
            <v>47210</v>
          </cell>
        </row>
        <row r="3016">
          <cell r="B3016">
            <v>47211</v>
          </cell>
        </row>
        <row r="3017">
          <cell r="B3017">
            <v>47212</v>
          </cell>
        </row>
        <row r="3018">
          <cell r="B3018">
            <v>47213</v>
          </cell>
        </row>
        <row r="3019">
          <cell r="B3019">
            <v>47214</v>
          </cell>
        </row>
        <row r="3020">
          <cell r="B3020">
            <v>47215</v>
          </cell>
        </row>
        <row r="3021">
          <cell r="B3021">
            <v>47216</v>
          </cell>
        </row>
        <row r="3022">
          <cell r="B3022">
            <v>47217</v>
          </cell>
        </row>
        <row r="3023">
          <cell r="B3023">
            <v>47218</v>
          </cell>
        </row>
        <row r="3024">
          <cell r="B3024">
            <v>47219</v>
          </cell>
        </row>
        <row r="3025">
          <cell r="B3025">
            <v>47220</v>
          </cell>
        </row>
        <row r="3026">
          <cell r="B3026">
            <v>47221</v>
          </cell>
        </row>
        <row r="3027">
          <cell r="B3027">
            <v>47222</v>
          </cell>
        </row>
        <row r="3028">
          <cell r="B3028">
            <v>47223</v>
          </cell>
        </row>
        <row r="3029">
          <cell r="B3029">
            <v>47224</v>
          </cell>
        </row>
        <row r="3030">
          <cell r="B3030">
            <v>47225</v>
          </cell>
        </row>
        <row r="3031">
          <cell r="B3031">
            <v>47226</v>
          </cell>
        </row>
        <row r="3032">
          <cell r="B3032">
            <v>47227</v>
          </cell>
        </row>
        <row r="3033">
          <cell r="B3033">
            <v>47228</v>
          </cell>
        </row>
        <row r="3034">
          <cell r="B3034">
            <v>47229</v>
          </cell>
        </row>
        <row r="3035">
          <cell r="B3035">
            <v>47230</v>
          </cell>
        </row>
        <row r="3036">
          <cell r="B3036">
            <v>47231</v>
          </cell>
        </row>
        <row r="3037">
          <cell r="B3037">
            <v>47232</v>
          </cell>
        </row>
        <row r="3038">
          <cell r="B3038">
            <v>47233</v>
          </cell>
        </row>
        <row r="3039">
          <cell r="B3039">
            <v>47234</v>
          </cell>
        </row>
        <row r="3040">
          <cell r="B3040">
            <v>47235</v>
          </cell>
        </row>
        <row r="3041">
          <cell r="B3041">
            <v>47236</v>
          </cell>
        </row>
        <row r="3042">
          <cell r="B3042">
            <v>47237</v>
          </cell>
        </row>
        <row r="3043">
          <cell r="B3043">
            <v>47238</v>
          </cell>
        </row>
        <row r="3044">
          <cell r="B3044">
            <v>47239</v>
          </cell>
        </row>
        <row r="3045">
          <cell r="B3045">
            <v>47240</v>
          </cell>
        </row>
        <row r="3046">
          <cell r="B3046">
            <v>47241</v>
          </cell>
        </row>
        <row r="3047">
          <cell r="B3047">
            <v>47242</v>
          </cell>
        </row>
        <row r="3048">
          <cell r="B3048">
            <v>47243</v>
          </cell>
        </row>
        <row r="3049">
          <cell r="B3049">
            <v>47244</v>
          </cell>
        </row>
        <row r="3050">
          <cell r="B3050">
            <v>47245</v>
          </cell>
        </row>
        <row r="3051">
          <cell r="B3051">
            <v>47246</v>
          </cell>
        </row>
        <row r="3052">
          <cell r="B3052">
            <v>47247</v>
          </cell>
        </row>
        <row r="3053">
          <cell r="B3053">
            <v>47248</v>
          </cell>
        </row>
        <row r="3054">
          <cell r="B3054">
            <v>47249</v>
          </cell>
        </row>
        <row r="3055">
          <cell r="B3055">
            <v>47250</v>
          </cell>
        </row>
        <row r="3056">
          <cell r="B3056">
            <v>47251</v>
          </cell>
        </row>
        <row r="3057">
          <cell r="B3057">
            <v>47252</v>
          </cell>
        </row>
        <row r="3058">
          <cell r="B3058">
            <v>47253</v>
          </cell>
        </row>
        <row r="3059">
          <cell r="B3059">
            <v>47254</v>
          </cell>
        </row>
        <row r="3060">
          <cell r="B3060">
            <v>47255</v>
          </cell>
        </row>
        <row r="3061">
          <cell r="B3061">
            <v>47256</v>
          </cell>
        </row>
        <row r="3062">
          <cell r="B3062">
            <v>47257</v>
          </cell>
        </row>
        <row r="3063">
          <cell r="B3063">
            <v>47258</v>
          </cell>
        </row>
        <row r="3064">
          <cell r="B3064">
            <v>47259</v>
          </cell>
        </row>
        <row r="3065">
          <cell r="B3065">
            <v>47260</v>
          </cell>
        </row>
        <row r="3066">
          <cell r="B3066">
            <v>47261</v>
          </cell>
        </row>
        <row r="3067">
          <cell r="B3067">
            <v>47262</v>
          </cell>
        </row>
        <row r="3068">
          <cell r="B3068">
            <v>47263</v>
          </cell>
        </row>
        <row r="3069">
          <cell r="B3069">
            <v>47264</v>
          </cell>
        </row>
        <row r="3070">
          <cell r="B3070">
            <v>47265</v>
          </cell>
        </row>
        <row r="3071">
          <cell r="B3071">
            <v>47266</v>
          </cell>
        </row>
        <row r="3072">
          <cell r="B3072">
            <v>47267</v>
          </cell>
        </row>
        <row r="3073">
          <cell r="B3073">
            <v>47268</v>
          </cell>
        </row>
        <row r="3074">
          <cell r="B3074">
            <v>47269</v>
          </cell>
        </row>
        <row r="3075">
          <cell r="B3075">
            <v>47270</v>
          </cell>
        </row>
        <row r="3076">
          <cell r="B3076">
            <v>47271</v>
          </cell>
        </row>
        <row r="3077">
          <cell r="B3077">
            <v>47272</v>
          </cell>
        </row>
        <row r="3078">
          <cell r="B3078">
            <v>47273</v>
          </cell>
        </row>
        <row r="3079">
          <cell r="B3079">
            <v>47274</v>
          </cell>
        </row>
        <row r="3080">
          <cell r="B3080">
            <v>47275</v>
          </cell>
        </row>
        <row r="3081">
          <cell r="B3081">
            <v>47276</v>
          </cell>
        </row>
        <row r="3082">
          <cell r="B3082">
            <v>47277</v>
          </cell>
        </row>
        <row r="3083">
          <cell r="B3083">
            <v>47278</v>
          </cell>
        </row>
        <row r="3084">
          <cell r="B3084">
            <v>47279</v>
          </cell>
        </row>
        <row r="3085">
          <cell r="B3085">
            <v>47280</v>
          </cell>
        </row>
        <row r="3086">
          <cell r="B3086">
            <v>47281</v>
          </cell>
        </row>
        <row r="3087">
          <cell r="B3087">
            <v>47282</v>
          </cell>
        </row>
        <row r="3088">
          <cell r="B3088">
            <v>47283</v>
          </cell>
        </row>
        <row r="3089">
          <cell r="B3089">
            <v>47284</v>
          </cell>
        </row>
        <row r="3090">
          <cell r="B3090">
            <v>47285</v>
          </cell>
        </row>
        <row r="3091">
          <cell r="B3091">
            <v>47286</v>
          </cell>
        </row>
        <row r="3092">
          <cell r="B3092">
            <v>47287</v>
          </cell>
        </row>
        <row r="3093">
          <cell r="B3093">
            <v>47288</v>
          </cell>
        </row>
        <row r="3094">
          <cell r="B3094">
            <v>47289</v>
          </cell>
        </row>
        <row r="3095">
          <cell r="B3095">
            <v>47290</v>
          </cell>
        </row>
        <row r="3096">
          <cell r="B3096">
            <v>47291</v>
          </cell>
        </row>
        <row r="3097">
          <cell r="B3097">
            <v>47292</v>
          </cell>
        </row>
        <row r="3098">
          <cell r="B3098">
            <v>47293</v>
          </cell>
        </row>
        <row r="3099">
          <cell r="B3099">
            <v>47294</v>
          </cell>
        </row>
        <row r="3100">
          <cell r="B3100">
            <v>47295</v>
          </cell>
        </row>
        <row r="3101">
          <cell r="B3101">
            <v>47296</v>
          </cell>
        </row>
        <row r="3102">
          <cell r="B3102">
            <v>47297</v>
          </cell>
        </row>
        <row r="3103">
          <cell r="B3103">
            <v>47298</v>
          </cell>
        </row>
        <row r="3104">
          <cell r="B3104">
            <v>47299</v>
          </cell>
        </row>
        <row r="3105">
          <cell r="B3105">
            <v>47300</v>
          </cell>
        </row>
        <row r="3106">
          <cell r="B3106">
            <v>47301</v>
          </cell>
        </row>
        <row r="3107">
          <cell r="B3107">
            <v>47302</v>
          </cell>
        </row>
        <row r="3108">
          <cell r="B3108">
            <v>47303</v>
          </cell>
        </row>
        <row r="3109">
          <cell r="B3109">
            <v>47304</v>
          </cell>
        </row>
        <row r="3110">
          <cell r="B3110">
            <v>47305</v>
          </cell>
        </row>
        <row r="3111">
          <cell r="B3111">
            <v>47306</v>
          </cell>
        </row>
        <row r="3112">
          <cell r="B3112">
            <v>47307</v>
          </cell>
        </row>
        <row r="3113">
          <cell r="B3113">
            <v>47308</v>
          </cell>
        </row>
        <row r="3114">
          <cell r="B3114">
            <v>47309</v>
          </cell>
        </row>
        <row r="3115">
          <cell r="B3115">
            <v>47310</v>
          </cell>
        </row>
        <row r="3116">
          <cell r="B3116">
            <v>47311</v>
          </cell>
        </row>
        <row r="3117">
          <cell r="B3117">
            <v>47312</v>
          </cell>
        </row>
        <row r="3118">
          <cell r="B3118">
            <v>47313</v>
          </cell>
        </row>
        <row r="3119">
          <cell r="B3119">
            <v>47314</v>
          </cell>
        </row>
        <row r="3120">
          <cell r="B3120">
            <v>47315</v>
          </cell>
        </row>
        <row r="3121">
          <cell r="B3121">
            <v>47316</v>
          </cell>
        </row>
        <row r="3122">
          <cell r="B3122">
            <v>47317</v>
          </cell>
        </row>
        <row r="3123">
          <cell r="B3123">
            <v>47318</v>
          </cell>
        </row>
        <row r="3124">
          <cell r="B3124">
            <v>47319</v>
          </cell>
        </row>
        <row r="3125">
          <cell r="B3125">
            <v>47320</v>
          </cell>
        </row>
        <row r="3126">
          <cell r="B3126">
            <v>47321</v>
          </cell>
        </row>
        <row r="3127">
          <cell r="B3127">
            <v>47322</v>
          </cell>
        </row>
        <row r="3128">
          <cell r="B3128">
            <v>47323</v>
          </cell>
        </row>
        <row r="3129">
          <cell r="B3129">
            <v>47324</v>
          </cell>
        </row>
        <row r="3130">
          <cell r="B3130">
            <v>47325</v>
          </cell>
        </row>
        <row r="3131">
          <cell r="B3131">
            <v>47326</v>
          </cell>
        </row>
        <row r="3132">
          <cell r="B3132">
            <v>47327</v>
          </cell>
        </row>
        <row r="3133">
          <cell r="B3133">
            <v>47328</v>
          </cell>
        </row>
        <row r="3134">
          <cell r="B3134">
            <v>47329</v>
          </cell>
        </row>
        <row r="3135">
          <cell r="B3135">
            <v>47330</v>
          </cell>
        </row>
        <row r="3136">
          <cell r="B3136">
            <v>47331</v>
          </cell>
        </row>
        <row r="3137">
          <cell r="B3137">
            <v>47332</v>
          </cell>
        </row>
        <row r="3138">
          <cell r="B3138">
            <v>47333</v>
          </cell>
        </row>
        <row r="3139">
          <cell r="B3139">
            <v>47334</v>
          </cell>
        </row>
        <row r="3140">
          <cell r="B3140">
            <v>47335</v>
          </cell>
        </row>
        <row r="3141">
          <cell r="B3141">
            <v>47336</v>
          </cell>
        </row>
        <row r="3142">
          <cell r="B3142">
            <v>47337</v>
          </cell>
        </row>
        <row r="3143">
          <cell r="B3143">
            <v>47338</v>
          </cell>
        </row>
        <row r="3144">
          <cell r="B3144">
            <v>47339</v>
          </cell>
        </row>
        <row r="3145">
          <cell r="B3145">
            <v>47340</v>
          </cell>
        </row>
        <row r="3146">
          <cell r="B3146">
            <v>47341</v>
          </cell>
        </row>
        <row r="3147">
          <cell r="B3147">
            <v>47342</v>
          </cell>
        </row>
        <row r="3148">
          <cell r="B3148">
            <v>47343</v>
          </cell>
        </row>
        <row r="3149">
          <cell r="B3149">
            <v>47344</v>
          </cell>
        </row>
        <row r="3150">
          <cell r="B3150">
            <v>47345</v>
          </cell>
        </row>
        <row r="3151">
          <cell r="B3151">
            <v>47346</v>
          </cell>
        </row>
        <row r="3152">
          <cell r="B3152">
            <v>47347</v>
          </cell>
        </row>
        <row r="3153">
          <cell r="B3153">
            <v>47348</v>
          </cell>
        </row>
        <row r="3154">
          <cell r="B3154">
            <v>47349</v>
          </cell>
        </row>
        <row r="3155">
          <cell r="B3155">
            <v>47350</v>
          </cell>
        </row>
        <row r="3156">
          <cell r="B3156">
            <v>47351</v>
          </cell>
        </row>
        <row r="3157">
          <cell r="B3157">
            <v>47352</v>
          </cell>
        </row>
        <row r="3158">
          <cell r="B3158">
            <v>47353</v>
          </cell>
        </row>
        <row r="3159">
          <cell r="B3159">
            <v>47354</v>
          </cell>
        </row>
        <row r="3160">
          <cell r="B3160">
            <v>47355</v>
          </cell>
        </row>
        <row r="3161">
          <cell r="B3161">
            <v>47356</v>
          </cell>
        </row>
        <row r="3162">
          <cell r="B3162">
            <v>47357</v>
          </cell>
        </row>
        <row r="3163">
          <cell r="B3163">
            <v>47358</v>
          </cell>
        </row>
        <row r="3164">
          <cell r="B3164">
            <v>47359</v>
          </cell>
        </row>
        <row r="3165">
          <cell r="B3165">
            <v>47360</v>
          </cell>
        </row>
        <row r="3166">
          <cell r="B3166">
            <v>47361</v>
          </cell>
        </row>
        <row r="3167">
          <cell r="B3167">
            <v>47362</v>
          </cell>
        </row>
        <row r="3168">
          <cell r="B3168">
            <v>47363</v>
          </cell>
        </row>
        <row r="3169">
          <cell r="B3169">
            <v>47364</v>
          </cell>
        </row>
        <row r="3170">
          <cell r="B3170">
            <v>47365</v>
          </cell>
        </row>
        <row r="3171">
          <cell r="B3171">
            <v>47366</v>
          </cell>
        </row>
        <row r="3172">
          <cell r="B3172">
            <v>47367</v>
          </cell>
        </row>
        <row r="3173">
          <cell r="B3173">
            <v>47368</v>
          </cell>
        </row>
        <row r="3174">
          <cell r="B3174">
            <v>47369</v>
          </cell>
        </row>
        <row r="3175">
          <cell r="B3175">
            <v>47370</v>
          </cell>
        </row>
        <row r="3176">
          <cell r="B3176">
            <v>47371</v>
          </cell>
        </row>
        <row r="3177">
          <cell r="B3177">
            <v>47372</v>
          </cell>
        </row>
        <row r="3178">
          <cell r="B3178">
            <v>47373</v>
          </cell>
        </row>
        <row r="3179">
          <cell r="B3179">
            <v>47374</v>
          </cell>
        </row>
        <row r="3180">
          <cell r="B3180">
            <v>47375</v>
          </cell>
        </row>
        <row r="3181">
          <cell r="B3181">
            <v>47376</v>
          </cell>
        </row>
        <row r="3182">
          <cell r="B3182">
            <v>47377</v>
          </cell>
        </row>
        <row r="3183">
          <cell r="B3183">
            <v>47378</v>
          </cell>
        </row>
        <row r="3184">
          <cell r="B3184">
            <v>47379</v>
          </cell>
        </row>
        <row r="3185">
          <cell r="B3185">
            <v>47380</v>
          </cell>
        </row>
        <row r="3186">
          <cell r="B3186">
            <v>47381</v>
          </cell>
        </row>
        <row r="3187">
          <cell r="B3187">
            <v>47382</v>
          </cell>
        </row>
        <row r="3188">
          <cell r="B3188">
            <v>47383</v>
          </cell>
        </row>
        <row r="3189">
          <cell r="B3189">
            <v>47384</v>
          </cell>
        </row>
        <row r="3190">
          <cell r="B3190">
            <v>47385</v>
          </cell>
        </row>
        <row r="3191">
          <cell r="B3191">
            <v>47386</v>
          </cell>
        </row>
        <row r="3192">
          <cell r="B3192">
            <v>47387</v>
          </cell>
        </row>
        <row r="3193">
          <cell r="B3193">
            <v>47388</v>
          </cell>
        </row>
        <row r="3194">
          <cell r="B3194">
            <v>47389</v>
          </cell>
        </row>
        <row r="3195">
          <cell r="B3195">
            <v>47390</v>
          </cell>
        </row>
        <row r="3196">
          <cell r="B3196">
            <v>47391</v>
          </cell>
        </row>
        <row r="3197">
          <cell r="B3197">
            <v>47392</v>
          </cell>
        </row>
        <row r="3198">
          <cell r="B3198">
            <v>47393</v>
          </cell>
        </row>
        <row r="3199">
          <cell r="B3199">
            <v>47394</v>
          </cell>
        </row>
        <row r="3200">
          <cell r="B3200">
            <v>47395</v>
          </cell>
        </row>
        <row r="3201">
          <cell r="B3201">
            <v>47396</v>
          </cell>
        </row>
        <row r="3202">
          <cell r="B3202">
            <v>47397</v>
          </cell>
        </row>
        <row r="3203">
          <cell r="B3203">
            <v>47398</v>
          </cell>
        </row>
        <row r="3204">
          <cell r="B3204">
            <v>47399</v>
          </cell>
        </row>
        <row r="3205">
          <cell r="B3205">
            <v>47400</v>
          </cell>
        </row>
        <row r="3206">
          <cell r="B3206">
            <v>47401</v>
          </cell>
        </row>
        <row r="3207">
          <cell r="B3207">
            <v>47402</v>
          </cell>
        </row>
        <row r="3208">
          <cell r="B3208">
            <v>47403</v>
          </cell>
        </row>
        <row r="3209">
          <cell r="B3209">
            <v>47404</v>
          </cell>
        </row>
        <row r="3210">
          <cell r="B3210">
            <v>47405</v>
          </cell>
        </row>
        <row r="3211">
          <cell r="B3211">
            <v>47406</v>
          </cell>
        </row>
        <row r="3212">
          <cell r="B3212">
            <v>47407</v>
          </cell>
        </row>
        <row r="3213">
          <cell r="B3213">
            <v>47408</v>
          </cell>
        </row>
        <row r="3214">
          <cell r="B3214">
            <v>47409</v>
          </cell>
        </row>
        <row r="3215">
          <cell r="B3215">
            <v>47410</v>
          </cell>
        </row>
        <row r="3216">
          <cell r="B3216">
            <v>47411</v>
          </cell>
        </row>
        <row r="3217">
          <cell r="B3217">
            <v>47412</v>
          </cell>
        </row>
        <row r="3218">
          <cell r="B3218">
            <v>47413</v>
          </cell>
        </row>
        <row r="3219">
          <cell r="B3219">
            <v>47414</v>
          </cell>
        </row>
        <row r="3220">
          <cell r="B3220">
            <v>47415</v>
          </cell>
        </row>
        <row r="3221">
          <cell r="B3221">
            <v>47416</v>
          </cell>
        </row>
        <row r="3222">
          <cell r="B3222">
            <v>47417</v>
          </cell>
        </row>
        <row r="3223">
          <cell r="B3223">
            <v>47418</v>
          </cell>
        </row>
        <row r="3224">
          <cell r="B3224">
            <v>47419</v>
          </cell>
        </row>
        <row r="3225">
          <cell r="B3225">
            <v>47420</v>
          </cell>
        </row>
        <row r="3226">
          <cell r="B3226">
            <v>47421</v>
          </cell>
        </row>
        <row r="3227">
          <cell r="B3227">
            <v>47422</v>
          </cell>
        </row>
        <row r="3228">
          <cell r="B3228">
            <v>47423</v>
          </cell>
        </row>
        <row r="3229">
          <cell r="B3229">
            <v>47424</v>
          </cell>
        </row>
        <row r="3230">
          <cell r="B3230">
            <v>47425</v>
          </cell>
        </row>
        <row r="3231">
          <cell r="B3231">
            <v>47426</v>
          </cell>
        </row>
        <row r="3232">
          <cell r="B3232">
            <v>47427</v>
          </cell>
        </row>
        <row r="3233">
          <cell r="B3233">
            <v>47428</v>
          </cell>
        </row>
        <row r="3234">
          <cell r="B3234">
            <v>47429</v>
          </cell>
        </row>
        <row r="3235">
          <cell r="B3235">
            <v>47430</v>
          </cell>
        </row>
        <row r="3236">
          <cell r="B3236">
            <v>47431</v>
          </cell>
        </row>
        <row r="3237">
          <cell r="B3237">
            <v>47432</v>
          </cell>
        </row>
        <row r="3238">
          <cell r="B3238">
            <v>47433</v>
          </cell>
        </row>
        <row r="3239">
          <cell r="B3239">
            <v>47434</v>
          </cell>
        </row>
        <row r="3240">
          <cell r="B3240">
            <v>47435</v>
          </cell>
        </row>
        <row r="3241">
          <cell r="B3241">
            <v>47436</v>
          </cell>
        </row>
        <row r="3242">
          <cell r="B3242">
            <v>47437</v>
          </cell>
        </row>
        <row r="3243">
          <cell r="B3243">
            <v>47438</v>
          </cell>
        </row>
        <row r="3244">
          <cell r="B3244">
            <v>47439</v>
          </cell>
        </row>
        <row r="3245">
          <cell r="B3245">
            <v>47440</v>
          </cell>
        </row>
        <row r="3246">
          <cell r="B3246">
            <v>47441</v>
          </cell>
        </row>
        <row r="3247">
          <cell r="B3247">
            <v>47442</v>
          </cell>
        </row>
        <row r="3248">
          <cell r="B3248">
            <v>47443</v>
          </cell>
        </row>
        <row r="3249">
          <cell r="B3249">
            <v>47444</v>
          </cell>
        </row>
        <row r="3250">
          <cell r="B3250">
            <v>47445</v>
          </cell>
        </row>
        <row r="3251">
          <cell r="B3251">
            <v>47446</v>
          </cell>
        </row>
        <row r="3252">
          <cell r="B3252">
            <v>47447</v>
          </cell>
        </row>
        <row r="3253">
          <cell r="B3253">
            <v>47448</v>
          </cell>
        </row>
        <row r="3254">
          <cell r="B3254">
            <v>47449</v>
          </cell>
        </row>
        <row r="3255">
          <cell r="B3255">
            <v>47450</v>
          </cell>
        </row>
        <row r="3256">
          <cell r="B3256">
            <v>47451</v>
          </cell>
        </row>
        <row r="3257">
          <cell r="B3257">
            <v>47452</v>
          </cell>
        </row>
        <row r="3258">
          <cell r="B3258">
            <v>47453</v>
          </cell>
        </row>
        <row r="3259">
          <cell r="B3259">
            <v>47454</v>
          </cell>
        </row>
        <row r="3260">
          <cell r="B3260">
            <v>47455</v>
          </cell>
        </row>
        <row r="3261">
          <cell r="B3261">
            <v>47456</v>
          </cell>
        </row>
        <row r="3262">
          <cell r="B3262">
            <v>47457</v>
          </cell>
        </row>
        <row r="3263">
          <cell r="B3263">
            <v>47458</v>
          </cell>
        </row>
        <row r="3264">
          <cell r="B3264">
            <v>47459</v>
          </cell>
        </row>
        <row r="3265">
          <cell r="B3265">
            <v>47460</v>
          </cell>
        </row>
        <row r="3266">
          <cell r="B3266">
            <v>47461</v>
          </cell>
        </row>
        <row r="3267">
          <cell r="B3267">
            <v>47462</v>
          </cell>
        </row>
        <row r="3268">
          <cell r="B3268">
            <v>47463</v>
          </cell>
        </row>
        <row r="3269">
          <cell r="B3269">
            <v>47464</v>
          </cell>
        </row>
        <row r="3270">
          <cell r="B3270">
            <v>47465</v>
          </cell>
        </row>
        <row r="3271">
          <cell r="B3271">
            <v>47466</v>
          </cell>
        </row>
        <row r="3272">
          <cell r="B3272">
            <v>47467</v>
          </cell>
        </row>
        <row r="3273">
          <cell r="B3273">
            <v>47468</v>
          </cell>
        </row>
        <row r="3274">
          <cell r="B3274">
            <v>47469</v>
          </cell>
        </row>
        <row r="3275">
          <cell r="B3275">
            <v>47470</v>
          </cell>
        </row>
        <row r="3276">
          <cell r="B3276">
            <v>47471</v>
          </cell>
        </row>
        <row r="3277">
          <cell r="B3277">
            <v>47472</v>
          </cell>
        </row>
        <row r="3278">
          <cell r="B3278">
            <v>47473</v>
          </cell>
        </row>
        <row r="3279">
          <cell r="B3279">
            <v>47474</v>
          </cell>
        </row>
        <row r="3280">
          <cell r="B3280">
            <v>47475</v>
          </cell>
        </row>
        <row r="3281">
          <cell r="B3281">
            <v>47476</v>
          </cell>
        </row>
        <row r="3282">
          <cell r="B3282">
            <v>47477</v>
          </cell>
        </row>
        <row r="3283">
          <cell r="B3283">
            <v>47478</v>
          </cell>
        </row>
        <row r="3284">
          <cell r="B3284">
            <v>47479</v>
          </cell>
        </row>
        <row r="3285">
          <cell r="B3285">
            <v>47480</v>
          </cell>
        </row>
        <row r="3286">
          <cell r="B3286">
            <v>47481</v>
          </cell>
        </row>
        <row r="3287">
          <cell r="B3287">
            <v>47482</v>
          </cell>
        </row>
        <row r="3288">
          <cell r="B3288">
            <v>47483</v>
          </cell>
        </row>
        <row r="3289">
          <cell r="B3289">
            <v>47484</v>
          </cell>
        </row>
        <row r="3290">
          <cell r="B3290">
            <v>47485</v>
          </cell>
        </row>
        <row r="3291">
          <cell r="B3291">
            <v>47486</v>
          </cell>
        </row>
        <row r="3292">
          <cell r="B3292">
            <v>47487</v>
          </cell>
        </row>
        <row r="3293">
          <cell r="B3293">
            <v>47488</v>
          </cell>
        </row>
        <row r="3294">
          <cell r="B3294">
            <v>47489</v>
          </cell>
        </row>
        <row r="3295">
          <cell r="B3295">
            <v>47490</v>
          </cell>
        </row>
        <row r="3296">
          <cell r="B3296">
            <v>47491</v>
          </cell>
        </row>
        <row r="3297">
          <cell r="B3297">
            <v>47492</v>
          </cell>
        </row>
        <row r="3298">
          <cell r="B3298">
            <v>47493</v>
          </cell>
        </row>
        <row r="3299">
          <cell r="B3299">
            <v>47494</v>
          </cell>
        </row>
        <row r="3300">
          <cell r="B3300">
            <v>47495</v>
          </cell>
        </row>
        <row r="3301">
          <cell r="B3301">
            <v>47496</v>
          </cell>
        </row>
        <row r="3302">
          <cell r="B3302">
            <v>47497</v>
          </cell>
        </row>
        <row r="3303">
          <cell r="B3303">
            <v>47498</v>
          </cell>
        </row>
        <row r="3304">
          <cell r="B3304">
            <v>47499</v>
          </cell>
        </row>
        <row r="3305">
          <cell r="B3305">
            <v>47500</v>
          </cell>
        </row>
        <row r="3306">
          <cell r="B3306">
            <v>47501</v>
          </cell>
        </row>
        <row r="3307">
          <cell r="B3307">
            <v>47502</v>
          </cell>
        </row>
        <row r="3308">
          <cell r="B3308">
            <v>47503</v>
          </cell>
        </row>
        <row r="3309">
          <cell r="B3309">
            <v>47504</v>
          </cell>
        </row>
        <row r="3310">
          <cell r="B3310">
            <v>47505</v>
          </cell>
        </row>
        <row r="3311">
          <cell r="B3311">
            <v>47506</v>
          </cell>
        </row>
        <row r="3312">
          <cell r="B3312">
            <v>47507</v>
          </cell>
        </row>
        <row r="3313">
          <cell r="B3313">
            <v>47508</v>
          </cell>
        </row>
        <row r="3314">
          <cell r="B3314">
            <v>47509</v>
          </cell>
        </row>
        <row r="3315">
          <cell r="B3315">
            <v>47510</v>
          </cell>
        </row>
        <row r="3316">
          <cell r="B3316">
            <v>47511</v>
          </cell>
        </row>
        <row r="3317">
          <cell r="B3317">
            <v>47512</v>
          </cell>
        </row>
        <row r="3318">
          <cell r="B3318">
            <v>47513</v>
          </cell>
        </row>
        <row r="3319">
          <cell r="B3319">
            <v>47514</v>
          </cell>
        </row>
        <row r="3320">
          <cell r="B3320">
            <v>47515</v>
          </cell>
        </row>
        <row r="3321">
          <cell r="B3321">
            <v>47516</v>
          </cell>
        </row>
        <row r="3322">
          <cell r="B3322">
            <v>47517</v>
          </cell>
        </row>
        <row r="3323">
          <cell r="B3323">
            <v>47518</v>
          </cell>
        </row>
        <row r="3324">
          <cell r="B3324">
            <v>47519</v>
          </cell>
        </row>
        <row r="3325">
          <cell r="B3325">
            <v>47520</v>
          </cell>
        </row>
        <row r="3326">
          <cell r="B3326">
            <v>47521</v>
          </cell>
        </row>
        <row r="3327">
          <cell r="B3327">
            <v>47522</v>
          </cell>
        </row>
        <row r="3328">
          <cell r="B3328">
            <v>47523</v>
          </cell>
        </row>
        <row r="3329">
          <cell r="B3329">
            <v>47524</v>
          </cell>
        </row>
        <row r="3330">
          <cell r="B3330">
            <v>47525</v>
          </cell>
        </row>
        <row r="3331">
          <cell r="B3331">
            <v>47526</v>
          </cell>
        </row>
        <row r="3332">
          <cell r="B3332">
            <v>47527</v>
          </cell>
        </row>
        <row r="3333">
          <cell r="B3333">
            <v>47528</v>
          </cell>
        </row>
        <row r="3334">
          <cell r="B3334">
            <v>47529</v>
          </cell>
        </row>
        <row r="3335">
          <cell r="B3335">
            <v>47530</v>
          </cell>
        </row>
        <row r="3336">
          <cell r="B3336">
            <v>47531</v>
          </cell>
        </row>
        <row r="3337">
          <cell r="B3337">
            <v>47532</v>
          </cell>
        </row>
        <row r="3338">
          <cell r="B3338">
            <v>47533</v>
          </cell>
        </row>
        <row r="3339">
          <cell r="B3339">
            <v>47534</v>
          </cell>
        </row>
        <row r="3340">
          <cell r="B3340">
            <v>47535</v>
          </cell>
        </row>
        <row r="3341">
          <cell r="B3341">
            <v>47536</v>
          </cell>
        </row>
        <row r="3342">
          <cell r="B3342">
            <v>47537</v>
          </cell>
        </row>
        <row r="3343">
          <cell r="B3343">
            <v>47538</v>
          </cell>
        </row>
        <row r="3344">
          <cell r="B3344">
            <v>47539</v>
          </cell>
        </row>
        <row r="3345">
          <cell r="B3345">
            <v>47540</v>
          </cell>
        </row>
        <row r="3346">
          <cell r="B3346">
            <v>47541</v>
          </cell>
        </row>
        <row r="3347">
          <cell r="B3347">
            <v>47542</v>
          </cell>
        </row>
        <row r="3348">
          <cell r="B3348">
            <v>47543</v>
          </cell>
        </row>
        <row r="3349">
          <cell r="B3349">
            <v>47544</v>
          </cell>
        </row>
        <row r="3350">
          <cell r="B3350">
            <v>47545</v>
          </cell>
        </row>
        <row r="3351">
          <cell r="B3351">
            <v>47546</v>
          </cell>
        </row>
        <row r="3352">
          <cell r="B3352">
            <v>47547</v>
          </cell>
        </row>
        <row r="3353">
          <cell r="B3353">
            <v>47548</v>
          </cell>
        </row>
        <row r="3354">
          <cell r="B3354">
            <v>47549</v>
          </cell>
        </row>
        <row r="3355">
          <cell r="B3355">
            <v>47550</v>
          </cell>
        </row>
        <row r="3356">
          <cell r="B3356">
            <v>47551</v>
          </cell>
        </row>
        <row r="3357">
          <cell r="B3357">
            <v>47552</v>
          </cell>
        </row>
        <row r="3358">
          <cell r="B3358">
            <v>47553</v>
          </cell>
        </row>
        <row r="3359">
          <cell r="B3359">
            <v>47554</v>
          </cell>
        </row>
        <row r="3360">
          <cell r="B3360">
            <v>47555</v>
          </cell>
        </row>
        <row r="3361">
          <cell r="B3361">
            <v>47556</v>
          </cell>
        </row>
        <row r="3362">
          <cell r="B3362">
            <v>47557</v>
          </cell>
        </row>
        <row r="3363">
          <cell r="B3363">
            <v>47558</v>
          </cell>
        </row>
        <row r="3364">
          <cell r="B3364">
            <v>47559</v>
          </cell>
        </row>
        <row r="3365">
          <cell r="B3365">
            <v>47560</v>
          </cell>
        </row>
        <row r="3366">
          <cell r="B3366">
            <v>47561</v>
          </cell>
        </row>
        <row r="3367">
          <cell r="B3367">
            <v>47562</v>
          </cell>
        </row>
        <row r="3368">
          <cell r="B3368">
            <v>47563</v>
          </cell>
        </row>
        <row r="3369">
          <cell r="B3369">
            <v>47564</v>
          </cell>
        </row>
        <row r="3370">
          <cell r="B3370">
            <v>47565</v>
          </cell>
        </row>
        <row r="3371">
          <cell r="B3371">
            <v>47566</v>
          </cell>
        </row>
        <row r="3372">
          <cell r="B3372">
            <v>47567</v>
          </cell>
        </row>
        <row r="3373">
          <cell r="B3373">
            <v>47568</v>
          </cell>
        </row>
        <row r="3374">
          <cell r="B3374">
            <v>47569</v>
          </cell>
        </row>
        <row r="3375">
          <cell r="B3375">
            <v>47570</v>
          </cell>
        </row>
        <row r="3376">
          <cell r="B3376">
            <v>47571</v>
          </cell>
        </row>
        <row r="3377">
          <cell r="B3377">
            <v>47572</v>
          </cell>
        </row>
        <row r="3378">
          <cell r="B3378">
            <v>47573</v>
          </cell>
        </row>
        <row r="3379">
          <cell r="B3379">
            <v>47574</v>
          </cell>
        </row>
        <row r="3380">
          <cell r="B3380">
            <v>47575</v>
          </cell>
        </row>
        <row r="3381">
          <cell r="B3381">
            <v>47576</v>
          </cell>
        </row>
        <row r="3382">
          <cell r="B3382">
            <v>47577</v>
          </cell>
        </row>
        <row r="3383">
          <cell r="B3383">
            <v>47578</v>
          </cell>
        </row>
        <row r="3384">
          <cell r="B3384">
            <v>47579</v>
          </cell>
        </row>
        <row r="3385">
          <cell r="B3385">
            <v>47580</v>
          </cell>
        </row>
        <row r="3386">
          <cell r="B3386">
            <v>47581</v>
          </cell>
        </row>
        <row r="3387">
          <cell r="B3387">
            <v>47582</v>
          </cell>
        </row>
        <row r="3388">
          <cell r="B3388">
            <v>47583</v>
          </cell>
        </row>
        <row r="3389">
          <cell r="B3389">
            <v>47584</v>
          </cell>
        </row>
        <row r="3390">
          <cell r="B3390">
            <v>47585</v>
          </cell>
        </row>
        <row r="3391">
          <cell r="B3391">
            <v>47586</v>
          </cell>
        </row>
        <row r="3392">
          <cell r="B3392">
            <v>47587</v>
          </cell>
        </row>
        <row r="3393">
          <cell r="B3393">
            <v>47588</v>
          </cell>
        </row>
        <row r="3394">
          <cell r="B3394">
            <v>47589</v>
          </cell>
        </row>
        <row r="3395">
          <cell r="B3395">
            <v>47590</v>
          </cell>
        </row>
        <row r="3396">
          <cell r="B3396">
            <v>47591</v>
          </cell>
        </row>
        <row r="3397">
          <cell r="B3397">
            <v>47592</v>
          </cell>
        </row>
        <row r="3398">
          <cell r="B3398">
            <v>47593</v>
          </cell>
        </row>
        <row r="3399">
          <cell r="B3399">
            <v>47594</v>
          </cell>
        </row>
        <row r="3400">
          <cell r="B3400">
            <v>47595</v>
          </cell>
        </row>
        <row r="3401">
          <cell r="B3401">
            <v>47596</v>
          </cell>
        </row>
        <row r="3402">
          <cell r="B3402">
            <v>47597</v>
          </cell>
        </row>
        <row r="3403">
          <cell r="B3403">
            <v>47598</v>
          </cell>
        </row>
        <row r="3404">
          <cell r="B3404">
            <v>47599</v>
          </cell>
        </row>
        <row r="3405">
          <cell r="B3405">
            <v>47600</v>
          </cell>
        </row>
        <row r="3406">
          <cell r="B3406">
            <v>47601</v>
          </cell>
        </row>
        <row r="3407">
          <cell r="B3407">
            <v>47602</v>
          </cell>
        </row>
        <row r="3408">
          <cell r="B3408">
            <v>47603</v>
          </cell>
        </row>
        <row r="3409">
          <cell r="B3409">
            <v>47604</v>
          </cell>
        </row>
        <row r="3410">
          <cell r="B3410">
            <v>47605</v>
          </cell>
        </row>
        <row r="3411">
          <cell r="B3411">
            <v>47606</v>
          </cell>
        </row>
        <row r="3412">
          <cell r="B3412">
            <v>47607</v>
          </cell>
        </row>
        <row r="3413">
          <cell r="B3413">
            <v>47608</v>
          </cell>
        </row>
        <row r="3414">
          <cell r="B3414">
            <v>47609</v>
          </cell>
        </row>
        <row r="3415">
          <cell r="B3415">
            <v>47610</v>
          </cell>
        </row>
        <row r="3416">
          <cell r="B3416">
            <v>47611</v>
          </cell>
        </row>
        <row r="3417">
          <cell r="B3417">
            <v>47612</v>
          </cell>
        </row>
        <row r="3418">
          <cell r="B3418">
            <v>47613</v>
          </cell>
        </row>
        <row r="3419">
          <cell r="B3419">
            <v>47614</v>
          </cell>
        </row>
        <row r="3420">
          <cell r="B3420">
            <v>47615</v>
          </cell>
        </row>
        <row r="3421">
          <cell r="B3421">
            <v>47616</v>
          </cell>
        </row>
        <row r="3422">
          <cell r="B3422">
            <v>47617</v>
          </cell>
        </row>
        <row r="3423">
          <cell r="B3423">
            <v>47618</v>
          </cell>
        </row>
        <row r="3424">
          <cell r="B3424">
            <v>47619</v>
          </cell>
        </row>
        <row r="3425">
          <cell r="B3425">
            <v>47620</v>
          </cell>
        </row>
        <row r="3426">
          <cell r="B3426">
            <v>47621</v>
          </cell>
        </row>
        <row r="3427">
          <cell r="B3427">
            <v>47622</v>
          </cell>
        </row>
        <row r="3428">
          <cell r="B3428">
            <v>47623</v>
          </cell>
        </row>
        <row r="3429">
          <cell r="B3429">
            <v>47624</v>
          </cell>
        </row>
        <row r="3430">
          <cell r="B3430">
            <v>47625</v>
          </cell>
        </row>
        <row r="3431">
          <cell r="B3431">
            <v>47626</v>
          </cell>
        </row>
        <row r="3432">
          <cell r="B3432">
            <v>47627</v>
          </cell>
        </row>
        <row r="3433">
          <cell r="B3433">
            <v>47628</v>
          </cell>
        </row>
        <row r="3434">
          <cell r="B3434">
            <v>47629</v>
          </cell>
        </row>
        <row r="3435">
          <cell r="B3435">
            <v>47630</v>
          </cell>
        </row>
        <row r="3436">
          <cell r="B3436">
            <v>47631</v>
          </cell>
        </row>
        <row r="3437">
          <cell r="B3437">
            <v>47632</v>
          </cell>
        </row>
        <row r="3438">
          <cell r="B3438">
            <v>47633</v>
          </cell>
        </row>
        <row r="3439">
          <cell r="B3439">
            <v>47634</v>
          </cell>
        </row>
        <row r="3440">
          <cell r="B3440">
            <v>47635</v>
          </cell>
        </row>
        <row r="3441">
          <cell r="B3441">
            <v>47636</v>
          </cell>
        </row>
        <row r="3442">
          <cell r="B3442">
            <v>47637</v>
          </cell>
        </row>
        <row r="3443">
          <cell r="B3443">
            <v>47638</v>
          </cell>
        </row>
        <row r="3444">
          <cell r="B3444">
            <v>47639</v>
          </cell>
        </row>
        <row r="3445">
          <cell r="B3445">
            <v>47640</v>
          </cell>
        </row>
        <row r="3446">
          <cell r="B3446">
            <v>47641</v>
          </cell>
        </row>
        <row r="3447">
          <cell r="B3447">
            <v>47642</v>
          </cell>
        </row>
        <row r="3448">
          <cell r="B3448">
            <v>47643</v>
          </cell>
        </row>
        <row r="3449">
          <cell r="B3449">
            <v>47644</v>
          </cell>
        </row>
        <row r="3450">
          <cell r="B3450">
            <v>47645</v>
          </cell>
        </row>
        <row r="3451">
          <cell r="B3451">
            <v>47646</v>
          </cell>
        </row>
        <row r="3452">
          <cell r="B3452">
            <v>47647</v>
          </cell>
        </row>
        <row r="3453">
          <cell r="B3453">
            <v>47648</v>
          </cell>
        </row>
        <row r="3454">
          <cell r="B3454">
            <v>47649</v>
          </cell>
        </row>
        <row r="3455">
          <cell r="B3455">
            <v>47650</v>
          </cell>
        </row>
        <row r="3456">
          <cell r="B3456">
            <v>47651</v>
          </cell>
        </row>
        <row r="3457">
          <cell r="B3457">
            <v>47652</v>
          </cell>
        </row>
        <row r="3458">
          <cell r="B3458">
            <v>47653</v>
          </cell>
        </row>
        <row r="3459">
          <cell r="B3459">
            <v>47654</v>
          </cell>
        </row>
        <row r="3460">
          <cell r="B3460">
            <v>47655</v>
          </cell>
        </row>
        <row r="3461">
          <cell r="B3461">
            <v>47656</v>
          </cell>
        </row>
        <row r="3462">
          <cell r="B3462">
            <v>47657</v>
          </cell>
        </row>
        <row r="3463">
          <cell r="B3463">
            <v>47658</v>
          </cell>
        </row>
        <row r="3464">
          <cell r="B3464">
            <v>47659</v>
          </cell>
        </row>
        <row r="3465">
          <cell r="B3465">
            <v>47660</v>
          </cell>
        </row>
        <row r="3466">
          <cell r="B3466">
            <v>47661</v>
          </cell>
        </row>
        <row r="3467">
          <cell r="B3467">
            <v>47662</v>
          </cell>
        </row>
        <row r="3468">
          <cell r="B3468">
            <v>47663</v>
          </cell>
        </row>
        <row r="3469">
          <cell r="B3469">
            <v>47664</v>
          </cell>
        </row>
        <row r="3470">
          <cell r="B3470">
            <v>47665</v>
          </cell>
        </row>
        <row r="3471">
          <cell r="B3471">
            <v>47666</v>
          </cell>
        </row>
        <row r="3472">
          <cell r="B3472">
            <v>47667</v>
          </cell>
        </row>
        <row r="3473">
          <cell r="B3473">
            <v>47668</v>
          </cell>
        </row>
        <row r="3474">
          <cell r="B3474">
            <v>47669</v>
          </cell>
        </row>
        <row r="3475">
          <cell r="B3475">
            <v>47670</v>
          </cell>
        </row>
        <row r="3476">
          <cell r="B3476">
            <v>47671</v>
          </cell>
        </row>
        <row r="3477">
          <cell r="B3477">
            <v>47672</v>
          </cell>
        </row>
        <row r="3478">
          <cell r="B3478">
            <v>47673</v>
          </cell>
        </row>
        <row r="3479">
          <cell r="B3479">
            <v>47674</v>
          </cell>
        </row>
        <row r="3480">
          <cell r="B3480">
            <v>47675</v>
          </cell>
        </row>
        <row r="3481">
          <cell r="B3481">
            <v>47676</v>
          </cell>
        </row>
        <row r="3482">
          <cell r="B3482">
            <v>47677</v>
          </cell>
        </row>
        <row r="3483">
          <cell r="B3483">
            <v>47678</v>
          </cell>
        </row>
        <row r="3484">
          <cell r="B3484">
            <v>47679</v>
          </cell>
        </row>
        <row r="3485">
          <cell r="B3485">
            <v>47680</v>
          </cell>
        </row>
        <row r="3486">
          <cell r="B3486">
            <v>47681</v>
          </cell>
        </row>
        <row r="3487">
          <cell r="B3487">
            <v>47682</v>
          </cell>
        </row>
        <row r="3488">
          <cell r="B3488">
            <v>47683</v>
          </cell>
        </row>
        <row r="3489">
          <cell r="B3489">
            <v>47684</v>
          </cell>
        </row>
        <row r="3490">
          <cell r="B3490">
            <v>47685</v>
          </cell>
        </row>
        <row r="3491">
          <cell r="B3491">
            <v>47686</v>
          </cell>
        </row>
        <row r="3492">
          <cell r="B3492">
            <v>47687</v>
          </cell>
        </row>
        <row r="3493">
          <cell r="B3493">
            <v>47688</v>
          </cell>
        </row>
        <row r="3494">
          <cell r="B3494">
            <v>47689</v>
          </cell>
        </row>
        <row r="3495">
          <cell r="B3495">
            <v>47690</v>
          </cell>
        </row>
        <row r="3496">
          <cell r="B3496">
            <v>47691</v>
          </cell>
        </row>
        <row r="3497">
          <cell r="B3497">
            <v>47692</v>
          </cell>
        </row>
        <row r="3498">
          <cell r="B3498">
            <v>47693</v>
          </cell>
        </row>
        <row r="3499">
          <cell r="B3499">
            <v>47694</v>
          </cell>
        </row>
        <row r="3500">
          <cell r="B3500">
            <v>47695</v>
          </cell>
        </row>
        <row r="3501">
          <cell r="B3501">
            <v>47696</v>
          </cell>
        </row>
        <row r="3502">
          <cell r="B3502">
            <v>47697</v>
          </cell>
        </row>
        <row r="3503">
          <cell r="B3503">
            <v>47698</v>
          </cell>
        </row>
        <row r="3504">
          <cell r="B3504">
            <v>47699</v>
          </cell>
        </row>
        <row r="3505">
          <cell r="B3505">
            <v>47700</v>
          </cell>
        </row>
        <row r="3506">
          <cell r="B3506">
            <v>47701</v>
          </cell>
        </row>
        <row r="3507">
          <cell r="B3507">
            <v>47702</v>
          </cell>
        </row>
        <row r="3508">
          <cell r="B3508">
            <v>47703</v>
          </cell>
        </row>
        <row r="3509">
          <cell r="B3509">
            <v>47704</v>
          </cell>
        </row>
        <row r="3510">
          <cell r="B3510">
            <v>47705</v>
          </cell>
        </row>
        <row r="3511">
          <cell r="B3511">
            <v>47706</v>
          </cell>
        </row>
        <row r="3512">
          <cell r="B3512">
            <v>47707</v>
          </cell>
        </row>
        <row r="3513">
          <cell r="B3513">
            <v>47708</v>
          </cell>
        </row>
        <row r="3514">
          <cell r="B3514">
            <v>47709</v>
          </cell>
        </row>
        <row r="3515">
          <cell r="B3515">
            <v>47710</v>
          </cell>
        </row>
        <row r="3516">
          <cell r="B3516">
            <v>47711</v>
          </cell>
        </row>
        <row r="3517">
          <cell r="B3517">
            <v>47712</v>
          </cell>
        </row>
        <row r="3518">
          <cell r="B3518">
            <v>47713</v>
          </cell>
        </row>
        <row r="3519">
          <cell r="B3519">
            <v>47714</v>
          </cell>
        </row>
        <row r="3520">
          <cell r="B3520">
            <v>47715</v>
          </cell>
        </row>
        <row r="3521">
          <cell r="B3521">
            <v>47716</v>
          </cell>
        </row>
        <row r="3522">
          <cell r="B3522">
            <v>47717</v>
          </cell>
        </row>
        <row r="3523">
          <cell r="B3523">
            <v>47718</v>
          </cell>
        </row>
        <row r="3524">
          <cell r="B3524">
            <v>47719</v>
          </cell>
        </row>
        <row r="3525">
          <cell r="B3525">
            <v>47720</v>
          </cell>
        </row>
        <row r="3526">
          <cell r="B3526">
            <v>47721</v>
          </cell>
        </row>
        <row r="3527">
          <cell r="B3527">
            <v>47722</v>
          </cell>
        </row>
        <row r="3528">
          <cell r="B3528">
            <v>47723</v>
          </cell>
        </row>
        <row r="3529">
          <cell r="B3529">
            <v>47724</v>
          </cell>
        </row>
        <row r="3530">
          <cell r="B3530">
            <v>47725</v>
          </cell>
        </row>
        <row r="3531">
          <cell r="B3531">
            <v>47726</v>
          </cell>
        </row>
        <row r="3532">
          <cell r="B3532">
            <v>47727</v>
          </cell>
        </row>
        <row r="3533">
          <cell r="B3533">
            <v>47728</v>
          </cell>
        </row>
        <row r="3534">
          <cell r="B3534">
            <v>47729</v>
          </cell>
        </row>
        <row r="3535">
          <cell r="B3535">
            <v>47730</v>
          </cell>
        </row>
        <row r="3536">
          <cell r="B3536">
            <v>47731</v>
          </cell>
        </row>
        <row r="3537">
          <cell r="B3537">
            <v>47732</v>
          </cell>
        </row>
        <row r="3538">
          <cell r="B3538">
            <v>47733</v>
          </cell>
        </row>
        <row r="3539">
          <cell r="B3539">
            <v>47734</v>
          </cell>
        </row>
        <row r="3540">
          <cell r="B3540">
            <v>47735</v>
          </cell>
        </row>
        <row r="3541">
          <cell r="B3541">
            <v>47736</v>
          </cell>
        </row>
        <row r="3542">
          <cell r="B3542">
            <v>47737</v>
          </cell>
        </row>
        <row r="3543">
          <cell r="B3543">
            <v>47738</v>
          </cell>
        </row>
        <row r="3544">
          <cell r="B3544">
            <v>47739</v>
          </cell>
        </row>
        <row r="3545">
          <cell r="B3545">
            <v>47740</v>
          </cell>
        </row>
        <row r="3546">
          <cell r="B3546">
            <v>47741</v>
          </cell>
        </row>
        <row r="3547">
          <cell r="B3547">
            <v>47742</v>
          </cell>
        </row>
        <row r="3548">
          <cell r="B3548">
            <v>47743</v>
          </cell>
        </row>
        <row r="3549">
          <cell r="B3549">
            <v>47744</v>
          </cell>
        </row>
        <row r="3550">
          <cell r="B3550">
            <v>47745</v>
          </cell>
        </row>
        <row r="3551">
          <cell r="B3551">
            <v>47746</v>
          </cell>
        </row>
        <row r="3552">
          <cell r="B3552">
            <v>47747</v>
          </cell>
        </row>
        <row r="3553">
          <cell r="B3553">
            <v>47748</v>
          </cell>
        </row>
        <row r="3554">
          <cell r="B3554">
            <v>47749</v>
          </cell>
        </row>
        <row r="3555">
          <cell r="B3555">
            <v>47750</v>
          </cell>
        </row>
        <row r="3556">
          <cell r="B3556">
            <v>47751</v>
          </cell>
        </row>
        <row r="3557">
          <cell r="B3557">
            <v>47752</v>
          </cell>
        </row>
        <row r="3558">
          <cell r="B3558">
            <v>47753</v>
          </cell>
        </row>
        <row r="3559">
          <cell r="B3559">
            <v>47754</v>
          </cell>
        </row>
        <row r="3560">
          <cell r="B3560">
            <v>47755</v>
          </cell>
        </row>
        <row r="3561">
          <cell r="B3561">
            <v>47756</v>
          </cell>
        </row>
        <row r="3562">
          <cell r="B3562">
            <v>47757</v>
          </cell>
        </row>
        <row r="3563">
          <cell r="B3563">
            <v>47758</v>
          </cell>
        </row>
        <row r="3564">
          <cell r="B3564">
            <v>47759</v>
          </cell>
        </row>
        <row r="3565">
          <cell r="B3565">
            <v>47760</v>
          </cell>
        </row>
        <row r="3566">
          <cell r="B3566">
            <v>47761</v>
          </cell>
        </row>
        <row r="3567">
          <cell r="B3567">
            <v>47762</v>
          </cell>
        </row>
        <row r="3568">
          <cell r="B3568">
            <v>47763</v>
          </cell>
        </row>
        <row r="3569">
          <cell r="B3569">
            <v>47764</v>
          </cell>
        </row>
        <row r="3570">
          <cell r="B3570">
            <v>47765</v>
          </cell>
        </row>
        <row r="3571">
          <cell r="B3571">
            <v>47766</v>
          </cell>
        </row>
        <row r="3572">
          <cell r="B3572">
            <v>47767</v>
          </cell>
        </row>
        <row r="3573">
          <cell r="B3573">
            <v>47768</v>
          </cell>
        </row>
        <row r="3574">
          <cell r="B3574">
            <v>47769</v>
          </cell>
        </row>
        <row r="3575">
          <cell r="B3575">
            <v>47770</v>
          </cell>
        </row>
        <row r="3576">
          <cell r="B3576">
            <v>47771</v>
          </cell>
        </row>
        <row r="3577">
          <cell r="B3577">
            <v>47772</v>
          </cell>
        </row>
        <row r="3578">
          <cell r="B3578">
            <v>47773</v>
          </cell>
        </row>
        <row r="3579">
          <cell r="B3579">
            <v>47774</v>
          </cell>
        </row>
        <row r="3580">
          <cell r="B3580">
            <v>47775</v>
          </cell>
        </row>
        <row r="3581">
          <cell r="B3581">
            <v>47776</v>
          </cell>
        </row>
        <row r="3582">
          <cell r="B3582">
            <v>47777</v>
          </cell>
        </row>
        <row r="3583">
          <cell r="B3583">
            <v>47778</v>
          </cell>
        </row>
        <row r="3584">
          <cell r="B3584">
            <v>47779</v>
          </cell>
        </row>
        <row r="3585">
          <cell r="B3585">
            <v>47780</v>
          </cell>
        </row>
        <row r="3586">
          <cell r="B3586">
            <v>47781</v>
          </cell>
        </row>
        <row r="3587">
          <cell r="B3587">
            <v>47782</v>
          </cell>
        </row>
        <row r="3588">
          <cell r="B3588">
            <v>47783</v>
          </cell>
        </row>
        <row r="3589">
          <cell r="B3589">
            <v>47784</v>
          </cell>
        </row>
        <row r="3590">
          <cell r="B3590">
            <v>47785</v>
          </cell>
        </row>
        <row r="3591">
          <cell r="B3591">
            <v>47786</v>
          </cell>
        </row>
        <row r="3592">
          <cell r="B3592">
            <v>47787</v>
          </cell>
        </row>
        <row r="3593">
          <cell r="B3593">
            <v>47788</v>
          </cell>
        </row>
        <row r="3594">
          <cell r="B3594">
            <v>47789</v>
          </cell>
        </row>
        <row r="3595">
          <cell r="B3595">
            <v>47790</v>
          </cell>
        </row>
        <row r="3596">
          <cell r="B3596">
            <v>47791</v>
          </cell>
        </row>
        <row r="3597">
          <cell r="B3597">
            <v>47792</v>
          </cell>
        </row>
        <row r="3598">
          <cell r="B3598">
            <v>47793</v>
          </cell>
        </row>
        <row r="3599">
          <cell r="B3599">
            <v>47794</v>
          </cell>
        </row>
        <row r="3600">
          <cell r="B3600">
            <v>47795</v>
          </cell>
        </row>
        <row r="3601">
          <cell r="B3601">
            <v>47796</v>
          </cell>
        </row>
        <row r="3602">
          <cell r="B3602">
            <v>47797</v>
          </cell>
        </row>
        <row r="3603">
          <cell r="B3603">
            <v>47798</v>
          </cell>
        </row>
        <row r="3604">
          <cell r="B3604">
            <v>47799</v>
          </cell>
        </row>
        <row r="3605">
          <cell r="B3605">
            <v>47800</v>
          </cell>
        </row>
        <row r="3606">
          <cell r="B3606">
            <v>47801</v>
          </cell>
        </row>
        <row r="3607">
          <cell r="B3607">
            <v>47802</v>
          </cell>
        </row>
        <row r="3608">
          <cell r="B3608">
            <v>47803</v>
          </cell>
        </row>
        <row r="3609">
          <cell r="B3609">
            <v>47804</v>
          </cell>
        </row>
        <row r="3610">
          <cell r="B3610">
            <v>47805</v>
          </cell>
        </row>
        <row r="3611">
          <cell r="B3611">
            <v>47806</v>
          </cell>
        </row>
        <row r="3612">
          <cell r="B3612">
            <v>47807</v>
          </cell>
        </row>
        <row r="3613">
          <cell r="B3613">
            <v>47808</v>
          </cell>
        </row>
        <row r="3614">
          <cell r="B3614">
            <v>47809</v>
          </cell>
        </row>
        <row r="3615">
          <cell r="B3615">
            <v>47810</v>
          </cell>
        </row>
        <row r="3616">
          <cell r="B3616">
            <v>47811</v>
          </cell>
        </row>
        <row r="3617">
          <cell r="B3617">
            <v>47812</v>
          </cell>
        </row>
        <row r="3618">
          <cell r="B3618">
            <v>47813</v>
          </cell>
        </row>
        <row r="3619">
          <cell r="B3619">
            <v>47814</v>
          </cell>
        </row>
        <row r="3620">
          <cell r="B3620">
            <v>47815</v>
          </cell>
        </row>
        <row r="3621">
          <cell r="B3621">
            <v>47816</v>
          </cell>
        </row>
        <row r="3622">
          <cell r="B3622">
            <v>47817</v>
          </cell>
        </row>
        <row r="3623">
          <cell r="B3623">
            <v>47818</v>
          </cell>
        </row>
        <row r="3624">
          <cell r="B3624">
            <v>47819</v>
          </cell>
        </row>
        <row r="3625">
          <cell r="B3625">
            <v>47820</v>
          </cell>
        </row>
        <row r="3626">
          <cell r="B3626">
            <v>47821</v>
          </cell>
        </row>
        <row r="3627">
          <cell r="B3627">
            <v>47822</v>
          </cell>
        </row>
        <row r="3628">
          <cell r="B3628">
            <v>47823</v>
          </cell>
        </row>
        <row r="3629">
          <cell r="B3629">
            <v>47824</v>
          </cell>
        </row>
        <row r="3630">
          <cell r="B3630">
            <v>47825</v>
          </cell>
        </row>
        <row r="3631">
          <cell r="B3631">
            <v>47826</v>
          </cell>
        </row>
        <row r="3632">
          <cell r="B3632">
            <v>47827</v>
          </cell>
        </row>
        <row r="3633">
          <cell r="B3633">
            <v>47828</v>
          </cell>
        </row>
        <row r="3634">
          <cell r="B3634">
            <v>47829</v>
          </cell>
        </row>
        <row r="3635">
          <cell r="B3635">
            <v>47830</v>
          </cell>
        </row>
        <row r="3636">
          <cell r="B3636">
            <v>47831</v>
          </cell>
        </row>
        <row r="3637">
          <cell r="B3637">
            <v>47832</v>
          </cell>
        </row>
        <row r="3638">
          <cell r="B3638">
            <v>47833</v>
          </cell>
        </row>
        <row r="3639">
          <cell r="B3639">
            <v>47834</v>
          </cell>
        </row>
        <row r="3640">
          <cell r="B3640">
            <v>47835</v>
          </cell>
        </row>
        <row r="3641">
          <cell r="B3641">
            <v>47836</v>
          </cell>
        </row>
        <row r="3642">
          <cell r="B3642">
            <v>47837</v>
          </cell>
        </row>
        <row r="3643">
          <cell r="B3643">
            <v>47838</v>
          </cell>
        </row>
        <row r="3644">
          <cell r="B3644">
            <v>47839</v>
          </cell>
        </row>
        <row r="3645">
          <cell r="B3645">
            <v>47840</v>
          </cell>
        </row>
        <row r="3646">
          <cell r="B3646">
            <v>47841</v>
          </cell>
        </row>
        <row r="3647">
          <cell r="B3647">
            <v>47842</v>
          </cell>
        </row>
        <row r="3648">
          <cell r="B3648">
            <v>47843</v>
          </cell>
        </row>
        <row r="3649">
          <cell r="B3649">
            <v>47844</v>
          </cell>
        </row>
        <row r="3650">
          <cell r="B3650">
            <v>47845</v>
          </cell>
        </row>
        <row r="3651">
          <cell r="B3651">
            <v>47846</v>
          </cell>
        </row>
        <row r="3652">
          <cell r="B3652">
            <v>47847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ADC"/>
      <sheetName val="Amortizaciones Auto"/>
      <sheetName val="Auto Plus Profeco"/>
      <sheetName val="Amortizacion Auto Plus"/>
      <sheetName val="Hipoteca Profeco"/>
      <sheetName val="Hipoteca Corrida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F2">
            <v>44197</v>
          </cell>
          <cell r="G2">
            <v>44228</v>
          </cell>
        </row>
        <row r="3">
          <cell r="F3">
            <v>44228</v>
          </cell>
          <cell r="G3">
            <v>44256</v>
          </cell>
        </row>
        <row r="4">
          <cell r="F4">
            <v>44256</v>
          </cell>
          <cell r="G4">
            <v>44287</v>
          </cell>
        </row>
        <row r="5">
          <cell r="F5">
            <v>44287</v>
          </cell>
          <cell r="G5">
            <v>44317</v>
          </cell>
        </row>
        <row r="6">
          <cell r="F6">
            <v>44317</v>
          </cell>
          <cell r="G6">
            <v>44348</v>
          </cell>
        </row>
        <row r="7">
          <cell r="F7">
            <v>44348</v>
          </cell>
          <cell r="G7">
            <v>44378</v>
          </cell>
        </row>
        <row r="8">
          <cell r="F8">
            <v>44378</v>
          </cell>
          <cell r="G8">
            <v>44409</v>
          </cell>
        </row>
        <row r="9">
          <cell r="F9">
            <v>44409</v>
          </cell>
          <cell r="G9">
            <v>44440</v>
          </cell>
        </row>
        <row r="10">
          <cell r="F10">
            <v>44440</v>
          </cell>
          <cell r="G10">
            <v>44470</v>
          </cell>
        </row>
        <row r="11">
          <cell r="F11">
            <v>44470</v>
          </cell>
          <cell r="G11">
            <v>44501</v>
          </cell>
        </row>
        <row r="12">
          <cell r="F12">
            <v>44501</v>
          </cell>
          <cell r="G12">
            <v>44531</v>
          </cell>
        </row>
        <row r="13">
          <cell r="F13">
            <v>44531</v>
          </cell>
          <cell r="G13">
            <v>44562</v>
          </cell>
        </row>
        <row r="14">
          <cell r="F14">
            <v>44562</v>
          </cell>
          <cell r="G14">
            <v>44593</v>
          </cell>
        </row>
        <row r="15">
          <cell r="F15">
            <v>44593</v>
          </cell>
          <cell r="G15">
            <v>44621</v>
          </cell>
        </row>
        <row r="16">
          <cell r="F16">
            <v>44621</v>
          </cell>
          <cell r="G16">
            <v>44652</v>
          </cell>
        </row>
        <row r="17">
          <cell r="F17">
            <v>44652</v>
          </cell>
          <cell r="G17">
            <v>44682</v>
          </cell>
        </row>
        <row r="18">
          <cell r="F18">
            <v>44682</v>
          </cell>
          <cell r="G18">
            <v>44713</v>
          </cell>
        </row>
        <row r="19">
          <cell r="F19">
            <v>44713</v>
          </cell>
          <cell r="G19">
            <v>44743</v>
          </cell>
        </row>
        <row r="20">
          <cell r="F20">
            <v>44743</v>
          </cell>
          <cell r="G20">
            <v>44774</v>
          </cell>
        </row>
        <row r="21">
          <cell r="F21">
            <v>44774</v>
          </cell>
          <cell r="G21">
            <v>44805</v>
          </cell>
        </row>
        <row r="22">
          <cell r="F22">
            <v>44805</v>
          </cell>
          <cell r="G22">
            <v>44835</v>
          </cell>
        </row>
        <row r="23">
          <cell r="F23">
            <v>44835</v>
          </cell>
          <cell r="G23">
            <v>44866</v>
          </cell>
        </row>
        <row r="24">
          <cell r="F24">
            <v>44866</v>
          </cell>
          <cell r="G24">
            <v>44896</v>
          </cell>
        </row>
        <row r="25">
          <cell r="F25">
            <v>44896</v>
          </cell>
          <cell r="G25">
            <v>44927</v>
          </cell>
        </row>
        <row r="26">
          <cell r="F26">
            <v>44927</v>
          </cell>
          <cell r="G26">
            <v>44958</v>
          </cell>
        </row>
        <row r="27">
          <cell r="F27">
            <v>44958</v>
          </cell>
          <cell r="G27">
            <v>44986</v>
          </cell>
        </row>
        <row r="28">
          <cell r="F28">
            <v>44986</v>
          </cell>
          <cell r="G28">
            <v>45017</v>
          </cell>
        </row>
        <row r="29">
          <cell r="F29">
            <v>45017</v>
          </cell>
          <cell r="G29">
            <v>45047</v>
          </cell>
        </row>
        <row r="30">
          <cell r="F30">
            <v>45047</v>
          </cell>
          <cell r="G30">
            <v>45078</v>
          </cell>
        </row>
        <row r="31">
          <cell r="F31">
            <v>45078</v>
          </cell>
          <cell r="G31">
            <v>45108</v>
          </cell>
        </row>
        <row r="32">
          <cell r="F32">
            <v>45108</v>
          </cell>
          <cell r="G32">
            <v>45139</v>
          </cell>
        </row>
        <row r="33">
          <cell r="F33">
            <v>45139</v>
          </cell>
          <cell r="G33">
            <v>45170</v>
          </cell>
        </row>
        <row r="34">
          <cell r="F34">
            <v>45170</v>
          </cell>
          <cell r="G34">
            <v>45200</v>
          </cell>
        </row>
        <row r="35">
          <cell r="F35">
            <v>45200</v>
          </cell>
          <cell r="G35">
            <v>45231</v>
          </cell>
        </row>
        <row r="36">
          <cell r="F36">
            <v>45231</v>
          </cell>
          <cell r="G36">
            <v>45261</v>
          </cell>
        </row>
        <row r="37">
          <cell r="F37">
            <v>45261</v>
          </cell>
          <cell r="G37">
            <v>45292</v>
          </cell>
        </row>
        <row r="38">
          <cell r="F38">
            <v>45292</v>
          </cell>
          <cell r="G38">
            <v>45323</v>
          </cell>
        </row>
        <row r="39">
          <cell r="F39">
            <v>45323</v>
          </cell>
          <cell r="G39">
            <v>45352</v>
          </cell>
        </row>
        <row r="40">
          <cell r="F40">
            <v>45352</v>
          </cell>
          <cell r="G40">
            <v>45383</v>
          </cell>
        </row>
        <row r="41">
          <cell r="F41">
            <v>45383</v>
          </cell>
          <cell r="G41">
            <v>45413</v>
          </cell>
        </row>
        <row r="42">
          <cell r="F42">
            <v>45413</v>
          </cell>
          <cell r="G42">
            <v>45444</v>
          </cell>
        </row>
        <row r="43">
          <cell r="F43">
            <v>45444</v>
          </cell>
          <cell r="G43">
            <v>45474</v>
          </cell>
        </row>
        <row r="44">
          <cell r="F44">
            <v>45474</v>
          </cell>
          <cell r="G44">
            <v>45505</v>
          </cell>
        </row>
        <row r="45">
          <cell r="F45">
            <v>45505</v>
          </cell>
          <cell r="G45">
            <v>45536</v>
          </cell>
        </row>
        <row r="46">
          <cell r="F46">
            <v>45536</v>
          </cell>
          <cell r="G46">
            <v>45566</v>
          </cell>
        </row>
        <row r="47">
          <cell r="F47">
            <v>45566</v>
          </cell>
          <cell r="G47">
            <v>45597</v>
          </cell>
        </row>
        <row r="48">
          <cell r="F48">
            <v>45597</v>
          </cell>
          <cell r="G48">
            <v>45627</v>
          </cell>
        </row>
        <row r="49">
          <cell r="F49">
            <v>45627</v>
          </cell>
          <cell r="G49">
            <v>45658</v>
          </cell>
        </row>
        <row r="50">
          <cell r="F50">
            <v>45658</v>
          </cell>
          <cell r="G50">
            <v>45689</v>
          </cell>
        </row>
        <row r="51">
          <cell r="F51">
            <v>45689</v>
          </cell>
          <cell r="G51">
            <v>45717</v>
          </cell>
        </row>
        <row r="52">
          <cell r="F52">
            <v>45717</v>
          </cell>
          <cell r="G52">
            <v>45748</v>
          </cell>
        </row>
        <row r="53">
          <cell r="F53">
            <v>45748</v>
          </cell>
          <cell r="G53">
            <v>45778</v>
          </cell>
        </row>
        <row r="54">
          <cell r="F54">
            <v>45778</v>
          </cell>
          <cell r="G54">
            <v>45809</v>
          </cell>
        </row>
        <row r="55">
          <cell r="F55">
            <v>45809</v>
          </cell>
          <cell r="G55">
            <v>45839</v>
          </cell>
        </row>
        <row r="56">
          <cell r="F56">
            <v>45839</v>
          </cell>
          <cell r="G56">
            <v>45870</v>
          </cell>
        </row>
        <row r="57">
          <cell r="F57">
            <v>45870</v>
          </cell>
          <cell r="G57">
            <v>45901</v>
          </cell>
        </row>
        <row r="58">
          <cell r="F58">
            <v>45901</v>
          </cell>
          <cell r="G58">
            <v>45931</v>
          </cell>
        </row>
        <row r="59">
          <cell r="F59">
            <v>45931</v>
          </cell>
          <cell r="G59">
            <v>45962</v>
          </cell>
        </row>
        <row r="60">
          <cell r="F60">
            <v>45962</v>
          </cell>
          <cell r="G60">
            <v>45992</v>
          </cell>
        </row>
        <row r="61">
          <cell r="F61">
            <v>45992</v>
          </cell>
          <cell r="G61">
            <v>46023</v>
          </cell>
        </row>
        <row r="62">
          <cell r="F62">
            <v>46023</v>
          </cell>
          <cell r="G62">
            <v>46054</v>
          </cell>
        </row>
        <row r="63">
          <cell r="F63">
            <v>46054</v>
          </cell>
          <cell r="G63">
            <v>46082</v>
          </cell>
        </row>
        <row r="64">
          <cell r="F64">
            <v>46082</v>
          </cell>
          <cell r="G64">
            <v>46113</v>
          </cell>
        </row>
        <row r="65">
          <cell r="F65">
            <v>46113</v>
          </cell>
          <cell r="G65">
            <v>46143</v>
          </cell>
        </row>
        <row r="66">
          <cell r="F66">
            <v>46143</v>
          </cell>
          <cell r="G66">
            <v>46174</v>
          </cell>
        </row>
        <row r="67">
          <cell r="F67">
            <v>46174</v>
          </cell>
          <cell r="G67">
            <v>46204</v>
          </cell>
        </row>
        <row r="68">
          <cell r="F68">
            <v>46204</v>
          </cell>
          <cell r="G68">
            <v>46235</v>
          </cell>
        </row>
        <row r="69">
          <cell r="F69">
            <v>46235</v>
          </cell>
          <cell r="G69">
            <v>46266</v>
          </cell>
        </row>
        <row r="70">
          <cell r="F70">
            <v>46266</v>
          </cell>
          <cell r="G70">
            <v>46296</v>
          </cell>
        </row>
        <row r="71">
          <cell r="F71">
            <v>46296</v>
          </cell>
          <cell r="G71">
            <v>46327</v>
          </cell>
        </row>
        <row r="72">
          <cell r="F72">
            <v>46327</v>
          </cell>
          <cell r="G72">
            <v>46357</v>
          </cell>
        </row>
        <row r="73">
          <cell r="F73">
            <v>46357</v>
          </cell>
          <cell r="G73">
            <v>46388</v>
          </cell>
        </row>
        <row r="74">
          <cell r="F74">
            <v>46388</v>
          </cell>
          <cell r="G74">
            <v>46419</v>
          </cell>
        </row>
        <row r="75">
          <cell r="F75">
            <v>46419</v>
          </cell>
          <cell r="G75">
            <v>46447</v>
          </cell>
        </row>
        <row r="76">
          <cell r="F76">
            <v>46447</v>
          </cell>
          <cell r="G76">
            <v>46478</v>
          </cell>
        </row>
        <row r="77">
          <cell r="F77">
            <v>46478</v>
          </cell>
          <cell r="G77">
            <v>46508</v>
          </cell>
        </row>
        <row r="78">
          <cell r="F78">
            <v>46508</v>
          </cell>
          <cell r="G78">
            <v>46539</v>
          </cell>
        </row>
        <row r="79">
          <cell r="F79">
            <v>46539</v>
          </cell>
          <cell r="G79">
            <v>46569</v>
          </cell>
        </row>
        <row r="80">
          <cell r="F80">
            <v>46569</v>
          </cell>
          <cell r="G80">
            <v>46600</v>
          </cell>
        </row>
        <row r="81">
          <cell r="F81">
            <v>46600</v>
          </cell>
          <cell r="G81">
            <v>46631</v>
          </cell>
        </row>
        <row r="82">
          <cell r="F82">
            <v>46631</v>
          </cell>
          <cell r="G82">
            <v>46661</v>
          </cell>
        </row>
        <row r="83">
          <cell r="F83">
            <v>46661</v>
          </cell>
          <cell r="G83">
            <v>46692</v>
          </cell>
        </row>
        <row r="84">
          <cell r="F84">
            <v>46692</v>
          </cell>
          <cell r="G84">
            <v>46722</v>
          </cell>
        </row>
        <row r="85">
          <cell r="F85">
            <v>46722</v>
          </cell>
          <cell r="G85">
            <v>46753</v>
          </cell>
        </row>
        <row r="86">
          <cell r="F86">
            <v>46753</v>
          </cell>
          <cell r="G86">
            <v>46784</v>
          </cell>
        </row>
        <row r="87">
          <cell r="F87">
            <v>46784</v>
          </cell>
          <cell r="G87">
            <v>46813</v>
          </cell>
        </row>
        <row r="88">
          <cell r="F88">
            <v>46813</v>
          </cell>
          <cell r="G88">
            <v>46844</v>
          </cell>
        </row>
        <row r="89">
          <cell r="F89">
            <v>46844</v>
          </cell>
          <cell r="G89">
            <v>46874</v>
          </cell>
        </row>
        <row r="90">
          <cell r="F90">
            <v>46874</v>
          </cell>
          <cell r="G90">
            <v>46905</v>
          </cell>
        </row>
        <row r="91">
          <cell r="F91">
            <v>46905</v>
          </cell>
          <cell r="G91">
            <v>46935</v>
          </cell>
        </row>
        <row r="92">
          <cell r="F92">
            <v>46935</v>
          </cell>
          <cell r="G92">
            <v>46966</v>
          </cell>
        </row>
        <row r="93">
          <cell r="F93">
            <v>46966</v>
          </cell>
          <cell r="G93">
            <v>46997</v>
          </cell>
        </row>
        <row r="94">
          <cell r="F94">
            <v>46997</v>
          </cell>
          <cell r="G94">
            <v>47027</v>
          </cell>
        </row>
        <row r="95">
          <cell r="F95">
            <v>47027</v>
          </cell>
          <cell r="G95">
            <v>47058</v>
          </cell>
        </row>
        <row r="96">
          <cell r="F96">
            <v>47058</v>
          </cell>
          <cell r="G96">
            <v>47088</v>
          </cell>
        </row>
        <row r="97">
          <cell r="F97">
            <v>47088</v>
          </cell>
          <cell r="G97">
            <v>47119</v>
          </cell>
        </row>
        <row r="98">
          <cell r="F98">
            <v>47119</v>
          </cell>
          <cell r="G98">
            <v>47150</v>
          </cell>
        </row>
        <row r="99">
          <cell r="F99">
            <v>47150</v>
          </cell>
          <cell r="G99">
            <v>47178</v>
          </cell>
        </row>
        <row r="100">
          <cell r="F100">
            <v>47178</v>
          </cell>
          <cell r="G100">
            <v>47209</v>
          </cell>
        </row>
        <row r="101">
          <cell r="F101">
            <v>47209</v>
          </cell>
          <cell r="G101">
            <v>47239</v>
          </cell>
        </row>
        <row r="102">
          <cell r="F102">
            <v>47239</v>
          </cell>
          <cell r="G102">
            <v>47270</v>
          </cell>
        </row>
        <row r="103">
          <cell r="F103">
            <v>47270</v>
          </cell>
          <cell r="G103">
            <v>47300</v>
          </cell>
        </row>
        <row r="104">
          <cell r="F104">
            <v>47300</v>
          </cell>
          <cell r="G104">
            <v>47331</v>
          </cell>
        </row>
        <row r="105">
          <cell r="F105">
            <v>47331</v>
          </cell>
          <cell r="G105">
            <v>47362</v>
          </cell>
        </row>
        <row r="106">
          <cell r="F106">
            <v>47362</v>
          </cell>
          <cell r="G106">
            <v>47392</v>
          </cell>
        </row>
        <row r="107">
          <cell r="F107">
            <v>47392</v>
          </cell>
          <cell r="G107">
            <v>47423</v>
          </cell>
        </row>
        <row r="108">
          <cell r="F108">
            <v>47423</v>
          </cell>
          <cell r="G108">
            <v>47453</v>
          </cell>
        </row>
        <row r="109">
          <cell r="F109">
            <v>47453</v>
          </cell>
          <cell r="G109">
            <v>47484</v>
          </cell>
        </row>
        <row r="110">
          <cell r="F110">
            <v>47484</v>
          </cell>
          <cell r="G110">
            <v>47515</v>
          </cell>
        </row>
        <row r="111">
          <cell r="F111">
            <v>47515</v>
          </cell>
          <cell r="G111">
            <v>47543</v>
          </cell>
        </row>
        <row r="112">
          <cell r="F112">
            <v>47543</v>
          </cell>
          <cell r="G112">
            <v>47574</v>
          </cell>
        </row>
        <row r="113">
          <cell r="F113">
            <v>47574</v>
          </cell>
          <cell r="G113">
            <v>47604</v>
          </cell>
        </row>
        <row r="114">
          <cell r="F114">
            <v>47604</v>
          </cell>
          <cell r="G114">
            <v>47635</v>
          </cell>
        </row>
        <row r="115">
          <cell r="F115">
            <v>47635</v>
          </cell>
          <cell r="G115">
            <v>47665</v>
          </cell>
        </row>
        <row r="116">
          <cell r="F116">
            <v>47665</v>
          </cell>
          <cell r="G116">
            <v>47696</v>
          </cell>
        </row>
        <row r="117">
          <cell r="F117">
            <v>47696</v>
          </cell>
          <cell r="G117">
            <v>47727</v>
          </cell>
        </row>
        <row r="118">
          <cell r="F118">
            <v>47727</v>
          </cell>
          <cell r="G118">
            <v>47757</v>
          </cell>
        </row>
        <row r="119">
          <cell r="F119">
            <v>47757</v>
          </cell>
          <cell r="G119">
            <v>47788</v>
          </cell>
        </row>
        <row r="120">
          <cell r="F120">
            <v>47788</v>
          </cell>
          <cell r="G120">
            <v>47818</v>
          </cell>
        </row>
        <row r="121">
          <cell r="F121">
            <v>47818</v>
          </cell>
          <cell r="G121">
            <v>47849</v>
          </cell>
        </row>
        <row r="122">
          <cell r="F122">
            <v>47849</v>
          </cell>
          <cell r="G122">
            <v>47880</v>
          </cell>
        </row>
        <row r="123">
          <cell r="F123">
            <v>47880</v>
          </cell>
          <cell r="G123">
            <v>47908</v>
          </cell>
        </row>
        <row r="124">
          <cell r="F124">
            <v>47908</v>
          </cell>
          <cell r="G124">
            <v>47939</v>
          </cell>
        </row>
        <row r="125">
          <cell r="F125">
            <v>47939</v>
          </cell>
          <cell r="G125">
            <v>47969</v>
          </cell>
        </row>
        <row r="126">
          <cell r="F126">
            <v>47969</v>
          </cell>
          <cell r="G126">
            <v>48000</v>
          </cell>
        </row>
        <row r="127">
          <cell r="F127">
            <v>48000</v>
          </cell>
          <cell r="G127">
            <v>48030</v>
          </cell>
        </row>
        <row r="128">
          <cell r="F128">
            <v>48030</v>
          </cell>
          <cell r="G128">
            <v>48061</v>
          </cell>
        </row>
        <row r="129">
          <cell r="F129">
            <v>48061</v>
          </cell>
          <cell r="G129">
            <v>48092</v>
          </cell>
        </row>
        <row r="130">
          <cell r="F130">
            <v>48092</v>
          </cell>
          <cell r="G130">
            <v>48122</v>
          </cell>
        </row>
        <row r="131">
          <cell r="F131">
            <v>48122</v>
          </cell>
          <cell r="G131">
            <v>48153</v>
          </cell>
        </row>
        <row r="132">
          <cell r="F132">
            <v>48153</v>
          </cell>
          <cell r="G132">
            <v>48183</v>
          </cell>
        </row>
        <row r="133">
          <cell r="F133">
            <v>48183</v>
          </cell>
          <cell r="G133">
            <v>48214</v>
          </cell>
        </row>
        <row r="134">
          <cell r="F134">
            <v>48214</v>
          </cell>
          <cell r="G134">
            <v>48245</v>
          </cell>
        </row>
        <row r="135">
          <cell r="F135">
            <v>48245</v>
          </cell>
          <cell r="G135">
            <v>48274</v>
          </cell>
        </row>
        <row r="136">
          <cell r="F136">
            <v>48274</v>
          </cell>
          <cell r="G136">
            <v>48305</v>
          </cell>
        </row>
        <row r="137">
          <cell r="F137">
            <v>48305</v>
          </cell>
          <cell r="G137">
            <v>48335</v>
          </cell>
        </row>
        <row r="138">
          <cell r="F138">
            <v>48335</v>
          </cell>
          <cell r="G138">
            <v>48366</v>
          </cell>
        </row>
        <row r="139">
          <cell r="F139">
            <v>48366</v>
          </cell>
          <cell r="G139">
            <v>48396</v>
          </cell>
        </row>
        <row r="140">
          <cell r="F140">
            <v>48396</v>
          </cell>
          <cell r="G140">
            <v>48427</v>
          </cell>
        </row>
        <row r="141">
          <cell r="F141">
            <v>48427</v>
          </cell>
          <cell r="G141">
            <v>48458</v>
          </cell>
        </row>
        <row r="142">
          <cell r="F142">
            <v>48458</v>
          </cell>
          <cell r="G142">
            <v>48488</v>
          </cell>
        </row>
        <row r="143">
          <cell r="F143">
            <v>48488</v>
          </cell>
          <cell r="G143">
            <v>48519</v>
          </cell>
        </row>
        <row r="144">
          <cell r="F144">
            <v>48519</v>
          </cell>
          <cell r="G144">
            <v>48549</v>
          </cell>
        </row>
        <row r="145">
          <cell r="F145">
            <v>48549</v>
          </cell>
          <cell r="G145">
            <v>48580</v>
          </cell>
        </row>
        <row r="146">
          <cell r="F146">
            <v>48580</v>
          </cell>
          <cell r="G146">
            <v>48611</v>
          </cell>
        </row>
        <row r="147">
          <cell r="F147">
            <v>48611</v>
          </cell>
          <cell r="G147">
            <v>48639</v>
          </cell>
        </row>
        <row r="148">
          <cell r="F148">
            <v>48639</v>
          </cell>
          <cell r="G148">
            <v>48670</v>
          </cell>
        </row>
        <row r="149">
          <cell r="F149">
            <v>48670</v>
          </cell>
          <cell r="G149">
            <v>48700</v>
          </cell>
        </row>
        <row r="150">
          <cell r="F150">
            <v>48700</v>
          </cell>
          <cell r="G150">
            <v>48731</v>
          </cell>
        </row>
        <row r="151">
          <cell r="F151">
            <v>48731</v>
          </cell>
          <cell r="G151">
            <v>48761</v>
          </cell>
        </row>
        <row r="152">
          <cell r="F152">
            <v>48761</v>
          </cell>
          <cell r="G152">
            <v>48792</v>
          </cell>
        </row>
        <row r="153">
          <cell r="F153">
            <v>48792</v>
          </cell>
          <cell r="G153">
            <v>48823</v>
          </cell>
        </row>
        <row r="154">
          <cell r="F154">
            <v>48823</v>
          </cell>
          <cell r="G154">
            <v>48853</v>
          </cell>
        </row>
        <row r="155">
          <cell r="F155">
            <v>48853</v>
          </cell>
          <cell r="G155">
            <v>48884</v>
          </cell>
        </row>
        <row r="156">
          <cell r="F156">
            <v>48884</v>
          </cell>
          <cell r="G156">
            <v>48914</v>
          </cell>
        </row>
        <row r="157">
          <cell r="F157">
            <v>48914</v>
          </cell>
          <cell r="G157">
            <v>48945</v>
          </cell>
        </row>
        <row r="158">
          <cell r="F158">
            <v>48945</v>
          </cell>
          <cell r="G158">
            <v>48976</v>
          </cell>
        </row>
        <row r="159">
          <cell r="F159">
            <v>48976</v>
          </cell>
          <cell r="G159">
            <v>49004</v>
          </cell>
        </row>
        <row r="160">
          <cell r="F160">
            <v>49004</v>
          </cell>
          <cell r="G160">
            <v>49035</v>
          </cell>
        </row>
        <row r="161">
          <cell r="F161">
            <v>49035</v>
          </cell>
          <cell r="G161">
            <v>49065</v>
          </cell>
        </row>
        <row r="162">
          <cell r="F162">
            <v>49065</v>
          </cell>
          <cell r="G162">
            <v>49096</v>
          </cell>
        </row>
        <row r="163">
          <cell r="F163">
            <v>49096</v>
          </cell>
          <cell r="G163">
            <v>49126</v>
          </cell>
        </row>
        <row r="164">
          <cell r="F164">
            <v>49126</v>
          </cell>
          <cell r="G164">
            <v>49157</v>
          </cell>
        </row>
        <row r="165">
          <cell r="F165">
            <v>49157</v>
          </cell>
          <cell r="G165">
            <v>49188</v>
          </cell>
        </row>
        <row r="166">
          <cell r="F166">
            <v>49188</v>
          </cell>
          <cell r="G166">
            <v>49218</v>
          </cell>
        </row>
        <row r="167">
          <cell r="F167">
            <v>49218</v>
          </cell>
          <cell r="G167">
            <v>49249</v>
          </cell>
        </row>
        <row r="168">
          <cell r="F168">
            <v>49249</v>
          </cell>
          <cell r="G168">
            <v>49279</v>
          </cell>
        </row>
        <row r="169">
          <cell r="F169">
            <v>49279</v>
          </cell>
          <cell r="G169">
            <v>49310</v>
          </cell>
        </row>
        <row r="170">
          <cell r="F170">
            <v>49310</v>
          </cell>
          <cell r="G170">
            <v>49341</v>
          </cell>
        </row>
        <row r="171">
          <cell r="F171">
            <v>49341</v>
          </cell>
          <cell r="G171">
            <v>49369</v>
          </cell>
        </row>
        <row r="172">
          <cell r="F172">
            <v>49369</v>
          </cell>
          <cell r="G172">
            <v>49400</v>
          </cell>
        </row>
        <row r="173">
          <cell r="F173">
            <v>49400</v>
          </cell>
          <cell r="G173">
            <v>49430</v>
          </cell>
        </row>
        <row r="174">
          <cell r="F174">
            <v>49430</v>
          </cell>
          <cell r="G174">
            <v>49461</v>
          </cell>
        </row>
        <row r="175">
          <cell r="F175">
            <v>49461</v>
          </cell>
          <cell r="G175">
            <v>49491</v>
          </cell>
        </row>
        <row r="176">
          <cell r="F176">
            <v>49491</v>
          </cell>
          <cell r="G176">
            <v>49522</v>
          </cell>
        </row>
        <row r="177">
          <cell r="F177">
            <v>49522</v>
          </cell>
          <cell r="G177">
            <v>49553</v>
          </cell>
        </row>
        <row r="178">
          <cell r="F178">
            <v>49553</v>
          </cell>
          <cell r="G178">
            <v>49583</v>
          </cell>
        </row>
        <row r="179">
          <cell r="F179">
            <v>49583</v>
          </cell>
          <cell r="G179">
            <v>49614</v>
          </cell>
        </row>
        <row r="180">
          <cell r="F180">
            <v>49614</v>
          </cell>
          <cell r="G180">
            <v>49644</v>
          </cell>
        </row>
        <row r="181">
          <cell r="F181">
            <v>49644</v>
          </cell>
          <cell r="G181">
            <v>49675</v>
          </cell>
        </row>
        <row r="182">
          <cell r="F182">
            <v>49675</v>
          </cell>
          <cell r="G182">
            <v>49706</v>
          </cell>
        </row>
        <row r="183">
          <cell r="F183">
            <v>49706</v>
          </cell>
          <cell r="G183">
            <v>49735</v>
          </cell>
        </row>
        <row r="184">
          <cell r="F184">
            <v>49735</v>
          </cell>
          <cell r="G184">
            <v>49766</v>
          </cell>
        </row>
        <row r="185">
          <cell r="F185">
            <v>49766</v>
          </cell>
          <cell r="G185">
            <v>49796</v>
          </cell>
        </row>
        <row r="186">
          <cell r="F186">
            <v>49796</v>
          </cell>
          <cell r="G186">
            <v>49827</v>
          </cell>
        </row>
        <row r="187">
          <cell r="F187">
            <v>49827</v>
          </cell>
          <cell r="G187">
            <v>49857</v>
          </cell>
        </row>
        <row r="188">
          <cell r="F188">
            <v>49857</v>
          </cell>
          <cell r="G188">
            <v>49888</v>
          </cell>
        </row>
        <row r="189">
          <cell r="F189">
            <v>49888</v>
          </cell>
          <cell r="G189">
            <v>49919</v>
          </cell>
        </row>
        <row r="190">
          <cell r="F190">
            <v>49919</v>
          </cell>
          <cell r="G190">
            <v>49949</v>
          </cell>
        </row>
        <row r="191">
          <cell r="F191">
            <v>49949</v>
          </cell>
          <cell r="G191">
            <v>49980</v>
          </cell>
        </row>
        <row r="192">
          <cell r="F192">
            <v>49980</v>
          </cell>
          <cell r="G192">
            <v>50010</v>
          </cell>
        </row>
        <row r="193">
          <cell r="F193">
            <v>50010</v>
          </cell>
          <cell r="G193">
            <v>50041</v>
          </cell>
        </row>
        <row r="194">
          <cell r="F194">
            <v>50041</v>
          </cell>
          <cell r="G194">
            <v>50072</v>
          </cell>
        </row>
        <row r="195">
          <cell r="F195">
            <v>50072</v>
          </cell>
          <cell r="G195">
            <v>50100</v>
          </cell>
        </row>
        <row r="196">
          <cell r="F196">
            <v>50100</v>
          </cell>
          <cell r="G196">
            <v>50131</v>
          </cell>
        </row>
        <row r="197">
          <cell r="F197">
            <v>50131</v>
          </cell>
          <cell r="G197">
            <v>50161</v>
          </cell>
        </row>
        <row r="198">
          <cell r="F198">
            <v>50161</v>
          </cell>
          <cell r="G198">
            <v>50192</v>
          </cell>
        </row>
        <row r="199">
          <cell r="F199">
            <v>50192</v>
          </cell>
          <cell r="G199">
            <v>50222</v>
          </cell>
        </row>
        <row r="200">
          <cell r="F200">
            <v>50222</v>
          </cell>
          <cell r="G200">
            <v>50253</v>
          </cell>
        </row>
        <row r="201">
          <cell r="F201">
            <v>50253</v>
          </cell>
          <cell r="G201">
            <v>50284</v>
          </cell>
        </row>
        <row r="202">
          <cell r="F202">
            <v>50284</v>
          </cell>
          <cell r="G202">
            <v>50314</v>
          </cell>
        </row>
        <row r="203">
          <cell r="F203">
            <v>50314</v>
          </cell>
          <cell r="G203">
            <v>50345</v>
          </cell>
        </row>
        <row r="204">
          <cell r="F204">
            <v>50345</v>
          </cell>
          <cell r="G204">
            <v>50375</v>
          </cell>
        </row>
        <row r="205">
          <cell r="F205">
            <v>50375</v>
          </cell>
          <cell r="G205">
            <v>50406</v>
          </cell>
        </row>
        <row r="206">
          <cell r="F206">
            <v>50406</v>
          </cell>
          <cell r="G206">
            <v>50437</v>
          </cell>
        </row>
        <row r="207">
          <cell r="F207">
            <v>50437</v>
          </cell>
          <cell r="G207">
            <v>50465</v>
          </cell>
        </row>
        <row r="208">
          <cell r="F208">
            <v>50465</v>
          </cell>
          <cell r="G208">
            <v>50496</v>
          </cell>
        </row>
        <row r="209">
          <cell r="F209">
            <v>50496</v>
          </cell>
          <cell r="G209">
            <v>50526</v>
          </cell>
        </row>
        <row r="210">
          <cell r="F210">
            <v>50526</v>
          </cell>
          <cell r="G210">
            <v>50557</v>
          </cell>
        </row>
        <row r="211">
          <cell r="F211">
            <v>50557</v>
          </cell>
          <cell r="G211">
            <v>50587</v>
          </cell>
        </row>
        <row r="212">
          <cell r="F212">
            <v>50587</v>
          </cell>
          <cell r="G212">
            <v>50618</v>
          </cell>
        </row>
        <row r="213">
          <cell r="F213">
            <v>50618</v>
          </cell>
          <cell r="G213">
            <v>50649</v>
          </cell>
        </row>
        <row r="214">
          <cell r="F214">
            <v>50649</v>
          </cell>
          <cell r="G214">
            <v>50679</v>
          </cell>
        </row>
        <row r="215">
          <cell r="F215">
            <v>50679</v>
          </cell>
          <cell r="G215">
            <v>50710</v>
          </cell>
        </row>
        <row r="216">
          <cell r="F216">
            <v>50710</v>
          </cell>
          <cell r="G216">
            <v>50740</v>
          </cell>
        </row>
        <row r="217">
          <cell r="F217">
            <v>50740</v>
          </cell>
          <cell r="G217">
            <v>50771</v>
          </cell>
        </row>
        <row r="218">
          <cell r="F218">
            <v>50771</v>
          </cell>
          <cell r="G218">
            <v>50802</v>
          </cell>
        </row>
        <row r="219">
          <cell r="F219">
            <v>50802</v>
          </cell>
          <cell r="G219">
            <v>50830</v>
          </cell>
        </row>
        <row r="220">
          <cell r="F220">
            <v>50830</v>
          </cell>
          <cell r="G220">
            <v>50861</v>
          </cell>
        </row>
        <row r="221">
          <cell r="F221">
            <v>50861</v>
          </cell>
          <cell r="G221">
            <v>50891</v>
          </cell>
        </row>
        <row r="222">
          <cell r="F222">
            <v>50891</v>
          </cell>
          <cell r="G222">
            <v>50922</v>
          </cell>
        </row>
        <row r="223">
          <cell r="F223">
            <v>50922</v>
          </cell>
          <cell r="G223">
            <v>50952</v>
          </cell>
        </row>
        <row r="224">
          <cell r="F224">
            <v>50952</v>
          </cell>
          <cell r="G224">
            <v>50983</v>
          </cell>
        </row>
        <row r="225">
          <cell r="F225">
            <v>50983</v>
          </cell>
          <cell r="G225">
            <v>51014</v>
          </cell>
        </row>
        <row r="226">
          <cell r="F226">
            <v>51014</v>
          </cell>
          <cell r="G226">
            <v>51044</v>
          </cell>
        </row>
        <row r="227">
          <cell r="F227">
            <v>51044</v>
          </cell>
          <cell r="G227">
            <v>51075</v>
          </cell>
        </row>
        <row r="228">
          <cell r="F228">
            <v>51075</v>
          </cell>
          <cell r="G228">
            <v>51105</v>
          </cell>
        </row>
        <row r="229">
          <cell r="F229">
            <v>51105</v>
          </cell>
          <cell r="G229">
            <v>51136</v>
          </cell>
        </row>
        <row r="230">
          <cell r="F230">
            <v>51136</v>
          </cell>
          <cell r="G230">
            <v>51167</v>
          </cell>
        </row>
        <row r="231">
          <cell r="F231">
            <v>51167</v>
          </cell>
          <cell r="G231">
            <v>51196</v>
          </cell>
        </row>
        <row r="232">
          <cell r="F232">
            <v>51196</v>
          </cell>
          <cell r="G232">
            <v>51227</v>
          </cell>
        </row>
        <row r="233">
          <cell r="F233">
            <v>51227</v>
          </cell>
          <cell r="G233">
            <v>51257</v>
          </cell>
        </row>
        <row r="234">
          <cell r="F234">
            <v>51257</v>
          </cell>
          <cell r="G234">
            <v>51288</v>
          </cell>
        </row>
        <row r="235">
          <cell r="F235">
            <v>51288</v>
          </cell>
          <cell r="G235">
            <v>51318</v>
          </cell>
        </row>
        <row r="236">
          <cell r="F236">
            <v>51318</v>
          </cell>
          <cell r="G236">
            <v>51349</v>
          </cell>
        </row>
        <row r="237">
          <cell r="F237">
            <v>51349</v>
          </cell>
          <cell r="G237">
            <v>51380</v>
          </cell>
        </row>
        <row r="238">
          <cell r="F238">
            <v>51380</v>
          </cell>
          <cell r="G238">
            <v>51410</v>
          </cell>
        </row>
        <row r="239">
          <cell r="F239">
            <v>51410</v>
          </cell>
          <cell r="G239">
            <v>51441</v>
          </cell>
        </row>
        <row r="240">
          <cell r="F240">
            <v>51441</v>
          </cell>
          <cell r="G240">
            <v>51471</v>
          </cell>
        </row>
        <row r="241">
          <cell r="F241">
            <v>51471</v>
          </cell>
          <cell r="G241">
            <v>51502</v>
          </cell>
        </row>
        <row r="242">
          <cell r="F242">
            <v>51502</v>
          </cell>
          <cell r="G242">
            <v>51533</v>
          </cell>
        </row>
        <row r="243">
          <cell r="F243">
            <v>51533</v>
          </cell>
          <cell r="G243">
            <v>51561</v>
          </cell>
        </row>
        <row r="244">
          <cell r="F244">
            <v>51561</v>
          </cell>
          <cell r="G244">
            <v>51592</v>
          </cell>
        </row>
        <row r="245">
          <cell r="F245">
            <v>51592</v>
          </cell>
          <cell r="G245">
            <v>51622</v>
          </cell>
        </row>
        <row r="246">
          <cell r="F246">
            <v>51622</v>
          </cell>
          <cell r="G246">
            <v>51653</v>
          </cell>
        </row>
        <row r="247">
          <cell r="F247">
            <v>51653</v>
          </cell>
          <cell r="G247">
            <v>51683</v>
          </cell>
        </row>
        <row r="248">
          <cell r="F248">
            <v>51683</v>
          </cell>
          <cell r="G248">
            <v>51714</v>
          </cell>
        </row>
        <row r="249">
          <cell r="F249">
            <v>51714</v>
          </cell>
          <cell r="G249">
            <v>51745</v>
          </cell>
        </row>
        <row r="250">
          <cell r="F250">
            <v>51745</v>
          </cell>
          <cell r="G250">
            <v>51775</v>
          </cell>
        </row>
        <row r="251">
          <cell r="F251">
            <v>51775</v>
          </cell>
          <cell r="G251">
            <v>51806</v>
          </cell>
        </row>
        <row r="252">
          <cell r="F252">
            <v>51806</v>
          </cell>
          <cell r="G252">
            <v>51836</v>
          </cell>
        </row>
        <row r="253">
          <cell r="F253">
            <v>51836</v>
          </cell>
          <cell r="G253">
            <v>51867</v>
          </cell>
        </row>
        <row r="254">
          <cell r="F254">
            <v>51867</v>
          </cell>
          <cell r="G254">
            <v>51898</v>
          </cell>
        </row>
        <row r="255">
          <cell r="F255">
            <v>51898</v>
          </cell>
          <cell r="G255">
            <v>51926</v>
          </cell>
        </row>
        <row r="256">
          <cell r="F256">
            <v>51926</v>
          </cell>
          <cell r="G256">
            <v>51957</v>
          </cell>
        </row>
        <row r="257">
          <cell r="F257">
            <v>51957</v>
          </cell>
          <cell r="G257">
            <v>51987</v>
          </cell>
        </row>
        <row r="258">
          <cell r="F258">
            <v>51987</v>
          </cell>
          <cell r="G258">
            <v>52018</v>
          </cell>
        </row>
        <row r="259">
          <cell r="F259">
            <v>52018</v>
          </cell>
          <cell r="G259">
            <v>52048</v>
          </cell>
        </row>
        <row r="260">
          <cell r="F260">
            <v>52048</v>
          </cell>
          <cell r="G260">
            <v>52079</v>
          </cell>
        </row>
        <row r="261">
          <cell r="F261">
            <v>52079</v>
          </cell>
          <cell r="G261">
            <v>52110</v>
          </cell>
        </row>
        <row r="262">
          <cell r="F262">
            <v>52110</v>
          </cell>
          <cell r="G262">
            <v>52140</v>
          </cell>
        </row>
        <row r="263">
          <cell r="F263">
            <v>52140</v>
          </cell>
          <cell r="G263">
            <v>52171</v>
          </cell>
        </row>
        <row r="264">
          <cell r="F264">
            <v>52171</v>
          </cell>
          <cell r="G264">
            <v>52201</v>
          </cell>
        </row>
        <row r="265">
          <cell r="F265">
            <v>52201</v>
          </cell>
          <cell r="G265">
            <v>52232</v>
          </cell>
        </row>
        <row r="266">
          <cell r="F266">
            <v>52232</v>
          </cell>
          <cell r="G266">
            <v>52263</v>
          </cell>
        </row>
        <row r="267">
          <cell r="F267">
            <v>52263</v>
          </cell>
          <cell r="G267">
            <v>52291</v>
          </cell>
        </row>
        <row r="268">
          <cell r="F268">
            <v>52291</v>
          </cell>
          <cell r="G268">
            <v>52322</v>
          </cell>
        </row>
        <row r="269">
          <cell r="F269">
            <v>52322</v>
          </cell>
          <cell r="G269">
            <v>52352</v>
          </cell>
        </row>
        <row r="270">
          <cell r="F270">
            <v>52352</v>
          </cell>
          <cell r="G270">
            <v>52383</v>
          </cell>
        </row>
        <row r="271">
          <cell r="F271">
            <v>52383</v>
          </cell>
          <cell r="G271">
            <v>52413</v>
          </cell>
        </row>
        <row r="272">
          <cell r="F272">
            <v>52413</v>
          </cell>
          <cell r="G272">
            <v>52444</v>
          </cell>
        </row>
        <row r="273">
          <cell r="F273">
            <v>52444</v>
          </cell>
          <cell r="G273">
            <v>52475</v>
          </cell>
        </row>
        <row r="274">
          <cell r="F274">
            <v>52475</v>
          </cell>
          <cell r="G274">
            <v>52505</v>
          </cell>
        </row>
        <row r="275">
          <cell r="F275">
            <v>52505</v>
          </cell>
          <cell r="G275">
            <v>52536</v>
          </cell>
        </row>
        <row r="276">
          <cell r="F276">
            <v>52536</v>
          </cell>
          <cell r="G276">
            <v>52566</v>
          </cell>
        </row>
        <row r="277">
          <cell r="F277">
            <v>52566</v>
          </cell>
          <cell r="G277">
            <v>52597</v>
          </cell>
        </row>
        <row r="278">
          <cell r="F278">
            <v>52597</v>
          </cell>
          <cell r="G278">
            <v>52628</v>
          </cell>
        </row>
        <row r="279">
          <cell r="F279">
            <v>52628</v>
          </cell>
          <cell r="G279">
            <v>52657</v>
          </cell>
        </row>
        <row r="280">
          <cell r="F280">
            <v>52657</v>
          </cell>
          <cell r="G280">
            <v>52688</v>
          </cell>
        </row>
        <row r="281">
          <cell r="F281">
            <v>52688</v>
          </cell>
          <cell r="G281">
            <v>52718</v>
          </cell>
        </row>
        <row r="282">
          <cell r="F282">
            <v>52718</v>
          </cell>
          <cell r="G282">
            <v>52749</v>
          </cell>
        </row>
        <row r="283">
          <cell r="F283">
            <v>52749</v>
          </cell>
          <cell r="G283">
            <v>52779</v>
          </cell>
        </row>
        <row r="284">
          <cell r="F284">
            <v>52779</v>
          </cell>
          <cell r="G284">
            <v>52810</v>
          </cell>
        </row>
        <row r="285">
          <cell r="F285">
            <v>52810</v>
          </cell>
          <cell r="G285">
            <v>52841</v>
          </cell>
        </row>
        <row r="286">
          <cell r="F286">
            <v>52841</v>
          </cell>
          <cell r="G286">
            <v>52871</v>
          </cell>
        </row>
        <row r="287">
          <cell r="F287">
            <v>52871</v>
          </cell>
          <cell r="G287">
            <v>52902</v>
          </cell>
        </row>
        <row r="288">
          <cell r="F288">
            <v>52902</v>
          </cell>
          <cell r="G288">
            <v>52932</v>
          </cell>
        </row>
        <row r="289">
          <cell r="F289">
            <v>52932</v>
          </cell>
          <cell r="G289">
            <v>52963</v>
          </cell>
        </row>
        <row r="290">
          <cell r="F290">
            <v>52963</v>
          </cell>
          <cell r="G290">
            <v>52994</v>
          </cell>
        </row>
        <row r="291">
          <cell r="F291">
            <v>52994</v>
          </cell>
          <cell r="G291">
            <v>53022</v>
          </cell>
        </row>
        <row r="292">
          <cell r="F292">
            <v>53022</v>
          </cell>
          <cell r="G292">
            <v>53053</v>
          </cell>
        </row>
        <row r="293">
          <cell r="F293">
            <v>53053</v>
          </cell>
          <cell r="G293">
            <v>53083</v>
          </cell>
        </row>
        <row r="294">
          <cell r="F294">
            <v>53083</v>
          </cell>
          <cell r="G294">
            <v>53114</v>
          </cell>
        </row>
        <row r="295">
          <cell r="F295">
            <v>53114</v>
          </cell>
          <cell r="G295">
            <v>53144</v>
          </cell>
        </row>
        <row r="296">
          <cell r="F296">
            <v>53144</v>
          </cell>
          <cell r="G296">
            <v>53175</v>
          </cell>
        </row>
        <row r="297">
          <cell r="F297">
            <v>53175</v>
          </cell>
          <cell r="G297">
            <v>53206</v>
          </cell>
        </row>
        <row r="298">
          <cell r="F298">
            <v>53206</v>
          </cell>
          <cell r="G298">
            <v>53236</v>
          </cell>
        </row>
        <row r="299">
          <cell r="F299">
            <v>53236</v>
          </cell>
          <cell r="G299">
            <v>53267</v>
          </cell>
        </row>
        <row r="300">
          <cell r="F300">
            <v>53267</v>
          </cell>
          <cell r="G300">
            <v>53297</v>
          </cell>
        </row>
        <row r="301">
          <cell r="F301">
            <v>53297</v>
          </cell>
          <cell r="G301">
            <v>53328</v>
          </cell>
        </row>
        <row r="302">
          <cell r="F302">
            <v>53328</v>
          </cell>
          <cell r="G302">
            <v>53359</v>
          </cell>
        </row>
        <row r="303">
          <cell r="F303">
            <v>53359</v>
          </cell>
          <cell r="G303">
            <v>53387</v>
          </cell>
        </row>
        <row r="304">
          <cell r="F304">
            <v>53387</v>
          </cell>
          <cell r="G304">
            <v>53418</v>
          </cell>
        </row>
        <row r="305">
          <cell r="F305">
            <v>53418</v>
          </cell>
          <cell r="G305">
            <v>53448</v>
          </cell>
        </row>
        <row r="306">
          <cell r="F306">
            <v>53448</v>
          </cell>
          <cell r="G306">
            <v>53479</v>
          </cell>
        </row>
        <row r="307">
          <cell r="F307">
            <v>53479</v>
          </cell>
          <cell r="G307">
            <v>53509</v>
          </cell>
        </row>
        <row r="308">
          <cell r="F308">
            <v>53509</v>
          </cell>
          <cell r="G308">
            <v>53540</v>
          </cell>
        </row>
        <row r="309">
          <cell r="F309">
            <v>53540</v>
          </cell>
          <cell r="G309">
            <v>53571</v>
          </cell>
        </row>
        <row r="310">
          <cell r="F310">
            <v>53571</v>
          </cell>
          <cell r="G310">
            <v>53601</v>
          </cell>
        </row>
        <row r="311">
          <cell r="F311">
            <v>53601</v>
          </cell>
          <cell r="G311">
            <v>53632</v>
          </cell>
        </row>
        <row r="312">
          <cell r="F312">
            <v>53632</v>
          </cell>
          <cell r="G312">
            <v>53662</v>
          </cell>
        </row>
        <row r="313">
          <cell r="F313">
            <v>53662</v>
          </cell>
          <cell r="G313">
            <v>53693</v>
          </cell>
        </row>
        <row r="314">
          <cell r="F314">
            <v>53693</v>
          </cell>
          <cell r="G314">
            <v>53724</v>
          </cell>
        </row>
        <row r="315">
          <cell r="F315">
            <v>53724</v>
          </cell>
          <cell r="G315">
            <v>53752</v>
          </cell>
        </row>
        <row r="316">
          <cell r="F316">
            <v>53752</v>
          </cell>
          <cell r="G316">
            <v>53783</v>
          </cell>
        </row>
        <row r="317">
          <cell r="F317">
            <v>53783</v>
          </cell>
          <cell r="G317">
            <v>53813</v>
          </cell>
        </row>
        <row r="318">
          <cell r="F318">
            <v>53813</v>
          </cell>
          <cell r="G318">
            <v>53844</v>
          </cell>
        </row>
        <row r="319">
          <cell r="F319">
            <v>53844</v>
          </cell>
          <cell r="G319">
            <v>53874</v>
          </cell>
        </row>
        <row r="320">
          <cell r="F320">
            <v>53874</v>
          </cell>
          <cell r="G320">
            <v>53905</v>
          </cell>
        </row>
        <row r="321">
          <cell r="F321">
            <v>53905</v>
          </cell>
          <cell r="G321">
            <v>53936</v>
          </cell>
        </row>
        <row r="322">
          <cell r="F322">
            <v>53936</v>
          </cell>
          <cell r="G322">
            <v>53966</v>
          </cell>
        </row>
        <row r="323">
          <cell r="F323">
            <v>53966</v>
          </cell>
          <cell r="G323">
            <v>53997</v>
          </cell>
        </row>
        <row r="324">
          <cell r="F324">
            <v>53997</v>
          </cell>
          <cell r="G324">
            <v>54027</v>
          </cell>
        </row>
        <row r="325">
          <cell r="F325">
            <v>54027</v>
          </cell>
          <cell r="G325">
            <v>54058</v>
          </cell>
        </row>
        <row r="326">
          <cell r="F326">
            <v>54058</v>
          </cell>
          <cell r="G326">
            <v>54089</v>
          </cell>
        </row>
        <row r="327">
          <cell r="F327">
            <v>54089</v>
          </cell>
          <cell r="G327">
            <v>54118</v>
          </cell>
        </row>
        <row r="328">
          <cell r="F328">
            <v>54118</v>
          </cell>
          <cell r="G328">
            <v>54149</v>
          </cell>
        </row>
        <row r="329">
          <cell r="F329">
            <v>54149</v>
          </cell>
          <cell r="G329">
            <v>54179</v>
          </cell>
        </row>
        <row r="330">
          <cell r="F330">
            <v>54179</v>
          </cell>
          <cell r="G330">
            <v>54210</v>
          </cell>
        </row>
        <row r="331">
          <cell r="F331">
            <v>54210</v>
          </cell>
          <cell r="G331">
            <v>54240</v>
          </cell>
        </row>
        <row r="332">
          <cell r="F332">
            <v>54240</v>
          </cell>
          <cell r="G332">
            <v>54271</v>
          </cell>
        </row>
        <row r="333">
          <cell r="F333">
            <v>54271</v>
          </cell>
          <cell r="G333">
            <v>54302</v>
          </cell>
        </row>
        <row r="334">
          <cell r="F334">
            <v>54302</v>
          </cell>
          <cell r="G334">
            <v>54332</v>
          </cell>
        </row>
        <row r="335">
          <cell r="F335">
            <v>54332</v>
          </cell>
          <cell r="G335">
            <v>54363</v>
          </cell>
        </row>
        <row r="336">
          <cell r="F336">
            <v>54363</v>
          </cell>
          <cell r="G336">
            <v>54393</v>
          </cell>
        </row>
        <row r="337">
          <cell r="F337">
            <v>54393</v>
          </cell>
          <cell r="G337">
            <v>54424</v>
          </cell>
        </row>
        <row r="338">
          <cell r="F338">
            <v>54424</v>
          </cell>
          <cell r="G338">
            <v>54455</v>
          </cell>
        </row>
        <row r="339">
          <cell r="F339">
            <v>54455</v>
          </cell>
          <cell r="G339">
            <v>54483</v>
          </cell>
        </row>
        <row r="340">
          <cell r="F340">
            <v>54483</v>
          </cell>
          <cell r="G340">
            <v>54514</v>
          </cell>
        </row>
        <row r="341">
          <cell r="F341">
            <v>54514</v>
          </cell>
          <cell r="G341">
            <v>54544</v>
          </cell>
        </row>
        <row r="342">
          <cell r="F342">
            <v>54544</v>
          </cell>
          <cell r="G342">
            <v>54575</v>
          </cell>
        </row>
        <row r="343">
          <cell r="F343">
            <v>54575</v>
          </cell>
          <cell r="G343">
            <v>54605</v>
          </cell>
        </row>
        <row r="344">
          <cell r="F344">
            <v>54605</v>
          </cell>
          <cell r="G344">
            <v>54636</v>
          </cell>
        </row>
        <row r="345">
          <cell r="F345">
            <v>54636</v>
          </cell>
          <cell r="G345">
            <v>54667</v>
          </cell>
        </row>
        <row r="346">
          <cell r="F346">
            <v>54667</v>
          </cell>
          <cell r="G346">
            <v>54697</v>
          </cell>
        </row>
        <row r="347">
          <cell r="F347">
            <v>54697</v>
          </cell>
          <cell r="G347">
            <v>54728</v>
          </cell>
        </row>
        <row r="348">
          <cell r="F348">
            <v>54728</v>
          </cell>
          <cell r="G348">
            <v>54758</v>
          </cell>
        </row>
        <row r="349">
          <cell r="F349">
            <v>54758</v>
          </cell>
          <cell r="G349">
            <v>54789</v>
          </cell>
        </row>
        <row r="350">
          <cell r="F350">
            <v>54789</v>
          </cell>
          <cell r="G350">
            <v>54820</v>
          </cell>
        </row>
        <row r="351">
          <cell r="F351">
            <v>54820</v>
          </cell>
          <cell r="G351">
            <v>54848</v>
          </cell>
        </row>
        <row r="352">
          <cell r="F352">
            <v>54848</v>
          </cell>
          <cell r="G352">
            <v>54879</v>
          </cell>
        </row>
        <row r="353">
          <cell r="F353">
            <v>54879</v>
          </cell>
          <cell r="G353">
            <v>54909</v>
          </cell>
        </row>
        <row r="354">
          <cell r="F354">
            <v>54909</v>
          </cell>
          <cell r="G354">
            <v>54940</v>
          </cell>
        </row>
        <row r="355">
          <cell r="F355">
            <v>54940</v>
          </cell>
          <cell r="G355">
            <v>54970</v>
          </cell>
        </row>
        <row r="356">
          <cell r="F356">
            <v>54970</v>
          </cell>
          <cell r="G356">
            <v>55001</v>
          </cell>
        </row>
        <row r="357">
          <cell r="F357">
            <v>55001</v>
          </cell>
          <cell r="G357">
            <v>55032</v>
          </cell>
        </row>
        <row r="358">
          <cell r="F358">
            <v>55032</v>
          </cell>
          <cell r="G358">
            <v>55062</v>
          </cell>
        </row>
        <row r="359">
          <cell r="F359">
            <v>55062</v>
          </cell>
          <cell r="G359">
            <v>55093</v>
          </cell>
        </row>
        <row r="360">
          <cell r="F360">
            <v>55093</v>
          </cell>
          <cell r="G360">
            <v>55123</v>
          </cell>
        </row>
        <row r="361">
          <cell r="F361">
            <v>55123</v>
          </cell>
          <cell r="G361">
            <v>55154</v>
          </cell>
        </row>
        <row r="362">
          <cell r="F362">
            <v>55154</v>
          </cell>
          <cell r="G362">
            <v>55185</v>
          </cell>
        </row>
        <row r="363">
          <cell r="F363">
            <v>55185</v>
          </cell>
          <cell r="G363">
            <v>55213</v>
          </cell>
        </row>
        <row r="364">
          <cell r="F364">
            <v>55213</v>
          </cell>
          <cell r="G364">
            <v>55244</v>
          </cell>
        </row>
        <row r="365">
          <cell r="F365">
            <v>55244</v>
          </cell>
          <cell r="G365">
            <v>55274</v>
          </cell>
        </row>
        <row r="366">
          <cell r="F366">
            <v>55274</v>
          </cell>
          <cell r="G366">
            <v>55305</v>
          </cell>
        </row>
        <row r="367">
          <cell r="F367">
            <v>55305</v>
          </cell>
          <cell r="G367">
            <v>55335</v>
          </cell>
        </row>
        <row r="368">
          <cell r="F368">
            <v>55335</v>
          </cell>
          <cell r="G368">
            <v>55366</v>
          </cell>
        </row>
        <row r="369">
          <cell r="F369">
            <v>55366</v>
          </cell>
          <cell r="G369">
            <v>55397</v>
          </cell>
        </row>
        <row r="370">
          <cell r="F370">
            <v>55397</v>
          </cell>
          <cell r="G370">
            <v>55427</v>
          </cell>
        </row>
        <row r="371">
          <cell r="F371">
            <v>55427</v>
          </cell>
          <cell r="G371">
            <v>55458</v>
          </cell>
        </row>
        <row r="372">
          <cell r="F372">
            <v>55458</v>
          </cell>
          <cell r="G372">
            <v>55488</v>
          </cell>
        </row>
        <row r="373">
          <cell r="F373">
            <v>55488</v>
          </cell>
          <cell r="G373">
            <v>55519</v>
          </cell>
        </row>
        <row r="374">
          <cell r="F374">
            <v>55519</v>
          </cell>
          <cell r="G374">
            <v>55550</v>
          </cell>
        </row>
        <row r="375">
          <cell r="F375">
            <v>55550</v>
          </cell>
          <cell r="G375">
            <v>55579</v>
          </cell>
        </row>
        <row r="376">
          <cell r="F376">
            <v>55579</v>
          </cell>
          <cell r="G376">
            <v>55610</v>
          </cell>
        </row>
        <row r="377">
          <cell r="F377">
            <v>55610</v>
          </cell>
          <cell r="G377">
            <v>55640</v>
          </cell>
        </row>
        <row r="378">
          <cell r="F378">
            <v>55640</v>
          </cell>
          <cell r="G378">
            <v>55671</v>
          </cell>
        </row>
        <row r="379">
          <cell r="F379">
            <v>55671</v>
          </cell>
          <cell r="G379">
            <v>55701</v>
          </cell>
        </row>
        <row r="380">
          <cell r="F380">
            <v>55701</v>
          </cell>
          <cell r="G380">
            <v>55732</v>
          </cell>
        </row>
        <row r="381">
          <cell r="F381">
            <v>55732</v>
          </cell>
          <cell r="G381">
            <v>55763</v>
          </cell>
        </row>
        <row r="382">
          <cell r="F382">
            <v>55763</v>
          </cell>
          <cell r="G382">
            <v>55793</v>
          </cell>
        </row>
        <row r="383">
          <cell r="F383">
            <v>55793</v>
          </cell>
          <cell r="G383">
            <v>55824</v>
          </cell>
        </row>
        <row r="384">
          <cell r="F384">
            <v>55824</v>
          </cell>
          <cell r="G384">
            <v>55854</v>
          </cell>
        </row>
        <row r="385">
          <cell r="F385">
            <v>55854</v>
          </cell>
          <cell r="G385">
            <v>55885</v>
          </cell>
        </row>
        <row r="386">
          <cell r="F386">
            <v>55885</v>
          </cell>
          <cell r="G386">
            <v>55916</v>
          </cell>
        </row>
        <row r="387">
          <cell r="F387">
            <v>55916</v>
          </cell>
          <cell r="G387">
            <v>55944</v>
          </cell>
        </row>
        <row r="388">
          <cell r="F388">
            <v>55944</v>
          </cell>
          <cell r="G388">
            <v>55975</v>
          </cell>
        </row>
        <row r="389">
          <cell r="F389">
            <v>55975</v>
          </cell>
          <cell r="G389">
            <v>56005</v>
          </cell>
        </row>
        <row r="390">
          <cell r="F390">
            <v>56005</v>
          </cell>
          <cell r="G390">
            <v>56036</v>
          </cell>
        </row>
        <row r="391">
          <cell r="F391">
            <v>56036</v>
          </cell>
          <cell r="G391">
            <v>56066</v>
          </cell>
        </row>
        <row r="392">
          <cell r="F392">
            <v>56066</v>
          </cell>
          <cell r="G392">
            <v>56097</v>
          </cell>
        </row>
        <row r="393">
          <cell r="F393">
            <v>56097</v>
          </cell>
          <cell r="G393">
            <v>56128</v>
          </cell>
        </row>
        <row r="394">
          <cell r="F394">
            <v>56128</v>
          </cell>
          <cell r="G394">
            <v>56158</v>
          </cell>
        </row>
        <row r="395">
          <cell r="F395">
            <v>56158</v>
          </cell>
          <cell r="G395">
            <v>56189</v>
          </cell>
        </row>
        <row r="396">
          <cell r="F396">
            <v>56189</v>
          </cell>
          <cell r="G396">
            <v>56219</v>
          </cell>
        </row>
        <row r="397">
          <cell r="F397">
            <v>56219</v>
          </cell>
          <cell r="G397">
            <v>56250</v>
          </cell>
        </row>
        <row r="398">
          <cell r="F398">
            <v>56250</v>
          </cell>
          <cell r="G398">
            <v>56281</v>
          </cell>
        </row>
        <row r="399">
          <cell r="F399">
            <v>56281</v>
          </cell>
          <cell r="G399">
            <v>56309</v>
          </cell>
        </row>
        <row r="400">
          <cell r="F400">
            <v>56309</v>
          </cell>
          <cell r="G400">
            <v>56340</v>
          </cell>
        </row>
        <row r="401">
          <cell r="F401">
            <v>56340</v>
          </cell>
          <cell r="G401">
            <v>56370</v>
          </cell>
        </row>
        <row r="402">
          <cell r="F402">
            <v>56370</v>
          </cell>
          <cell r="G402">
            <v>56401</v>
          </cell>
        </row>
        <row r="403">
          <cell r="F403">
            <v>56401</v>
          </cell>
          <cell r="G403">
            <v>56431</v>
          </cell>
        </row>
        <row r="404">
          <cell r="F404">
            <v>56431</v>
          </cell>
          <cell r="G404">
            <v>56462</v>
          </cell>
        </row>
        <row r="405">
          <cell r="F405">
            <v>56462</v>
          </cell>
          <cell r="G405">
            <v>56493</v>
          </cell>
        </row>
        <row r="406">
          <cell r="F406">
            <v>56493</v>
          </cell>
          <cell r="G406">
            <v>56523</v>
          </cell>
        </row>
        <row r="407">
          <cell r="F407">
            <v>56523</v>
          </cell>
          <cell r="G407">
            <v>56554</v>
          </cell>
        </row>
        <row r="408">
          <cell r="F408">
            <v>56554</v>
          </cell>
          <cell r="G408">
            <v>56584</v>
          </cell>
        </row>
        <row r="409">
          <cell r="F409">
            <v>56584</v>
          </cell>
          <cell r="G409">
            <v>56615</v>
          </cell>
        </row>
        <row r="410">
          <cell r="F410">
            <v>56615</v>
          </cell>
          <cell r="G410">
            <v>56646</v>
          </cell>
        </row>
        <row r="411">
          <cell r="F411">
            <v>56646</v>
          </cell>
          <cell r="G411">
            <v>56674</v>
          </cell>
        </row>
        <row r="412">
          <cell r="F412">
            <v>56674</v>
          </cell>
          <cell r="G412">
            <v>56705</v>
          </cell>
        </row>
        <row r="413">
          <cell r="F413">
            <v>56705</v>
          </cell>
          <cell r="G413">
            <v>56735</v>
          </cell>
        </row>
        <row r="414">
          <cell r="F414">
            <v>56735</v>
          </cell>
          <cell r="G414">
            <v>56766</v>
          </cell>
        </row>
        <row r="415">
          <cell r="F415">
            <v>56766</v>
          </cell>
          <cell r="G415">
            <v>56796</v>
          </cell>
        </row>
        <row r="416">
          <cell r="F416">
            <v>56796</v>
          </cell>
          <cell r="G416">
            <v>56827</v>
          </cell>
        </row>
        <row r="417">
          <cell r="F417">
            <v>56827</v>
          </cell>
          <cell r="G417">
            <v>56858</v>
          </cell>
        </row>
        <row r="418">
          <cell r="F418">
            <v>56858</v>
          </cell>
          <cell r="G418">
            <v>56888</v>
          </cell>
        </row>
        <row r="419">
          <cell r="F419">
            <v>56888</v>
          </cell>
          <cell r="G419">
            <v>56919</v>
          </cell>
        </row>
        <row r="420">
          <cell r="F420">
            <v>56919</v>
          </cell>
          <cell r="G420">
            <v>56949</v>
          </cell>
        </row>
        <row r="421">
          <cell r="F421">
            <v>56949</v>
          </cell>
          <cell r="G421">
            <v>56980</v>
          </cell>
        </row>
        <row r="422">
          <cell r="F422">
            <v>56980</v>
          </cell>
          <cell r="G422">
            <v>57011</v>
          </cell>
        </row>
        <row r="423">
          <cell r="F423">
            <v>57011</v>
          </cell>
          <cell r="G423">
            <v>57040</v>
          </cell>
        </row>
        <row r="424">
          <cell r="F424">
            <v>57040</v>
          </cell>
          <cell r="G424">
            <v>57071</v>
          </cell>
        </row>
        <row r="425">
          <cell r="F425">
            <v>57071</v>
          </cell>
          <cell r="G425">
            <v>57101</v>
          </cell>
        </row>
        <row r="426">
          <cell r="F426">
            <v>57101</v>
          </cell>
          <cell r="G426">
            <v>57132</v>
          </cell>
        </row>
        <row r="427">
          <cell r="F427">
            <v>57132</v>
          </cell>
          <cell r="G427">
            <v>57162</v>
          </cell>
        </row>
        <row r="428">
          <cell r="F428">
            <v>57162</v>
          </cell>
          <cell r="G428">
            <v>57193</v>
          </cell>
        </row>
        <row r="429">
          <cell r="F429">
            <v>57193</v>
          </cell>
          <cell r="G429">
            <v>57224</v>
          </cell>
        </row>
        <row r="430">
          <cell r="F430">
            <v>57224</v>
          </cell>
          <cell r="G430">
            <v>57254</v>
          </cell>
        </row>
        <row r="431">
          <cell r="F431">
            <v>57254</v>
          </cell>
          <cell r="G431">
            <v>57285</v>
          </cell>
        </row>
        <row r="432">
          <cell r="F432">
            <v>57285</v>
          </cell>
          <cell r="G432">
            <v>57315</v>
          </cell>
        </row>
        <row r="433">
          <cell r="F433">
            <v>57315</v>
          </cell>
          <cell r="G433">
            <v>57346</v>
          </cell>
        </row>
        <row r="434">
          <cell r="F434">
            <v>57346</v>
          </cell>
          <cell r="G434">
            <v>57377</v>
          </cell>
        </row>
        <row r="435">
          <cell r="F435">
            <v>57377</v>
          </cell>
          <cell r="G435">
            <v>57405</v>
          </cell>
        </row>
        <row r="436">
          <cell r="F436">
            <v>57405</v>
          </cell>
          <cell r="G436">
            <v>57436</v>
          </cell>
        </row>
        <row r="437">
          <cell r="F437">
            <v>57436</v>
          </cell>
          <cell r="G437">
            <v>57466</v>
          </cell>
        </row>
        <row r="438">
          <cell r="F438">
            <v>57466</v>
          </cell>
          <cell r="G438">
            <v>57497</v>
          </cell>
        </row>
        <row r="439">
          <cell r="F439">
            <v>57497</v>
          </cell>
          <cell r="G439">
            <v>57527</v>
          </cell>
        </row>
        <row r="440">
          <cell r="F440">
            <v>57527</v>
          </cell>
          <cell r="G440">
            <v>57558</v>
          </cell>
        </row>
        <row r="441">
          <cell r="F441">
            <v>57558</v>
          </cell>
          <cell r="G441">
            <v>57589</v>
          </cell>
        </row>
        <row r="442">
          <cell r="F442">
            <v>57589</v>
          </cell>
          <cell r="G442">
            <v>57619</v>
          </cell>
        </row>
        <row r="443">
          <cell r="F443">
            <v>57619</v>
          </cell>
          <cell r="G443">
            <v>57650</v>
          </cell>
        </row>
        <row r="444">
          <cell r="F444">
            <v>57650</v>
          </cell>
          <cell r="G444">
            <v>57680</v>
          </cell>
        </row>
        <row r="445">
          <cell r="F445">
            <v>57680</v>
          </cell>
          <cell r="G445">
            <v>57711</v>
          </cell>
        </row>
        <row r="446">
          <cell r="F446">
            <v>57711</v>
          </cell>
          <cell r="G446">
            <v>57742</v>
          </cell>
        </row>
        <row r="447">
          <cell r="F447">
            <v>57742</v>
          </cell>
          <cell r="G447">
            <v>57770</v>
          </cell>
        </row>
        <row r="448">
          <cell r="F448">
            <v>57770</v>
          </cell>
          <cell r="G448">
            <v>57801</v>
          </cell>
        </row>
        <row r="449">
          <cell r="F449">
            <v>57801</v>
          </cell>
          <cell r="G449">
            <v>57831</v>
          </cell>
        </row>
        <row r="450">
          <cell r="F450">
            <v>57831</v>
          </cell>
          <cell r="G450">
            <v>57862</v>
          </cell>
        </row>
        <row r="451">
          <cell r="F451">
            <v>57862</v>
          </cell>
          <cell r="G451">
            <v>57892</v>
          </cell>
        </row>
        <row r="452">
          <cell r="F452">
            <v>57892</v>
          </cell>
          <cell r="G452">
            <v>57923</v>
          </cell>
        </row>
        <row r="453">
          <cell r="F453">
            <v>57923</v>
          </cell>
          <cell r="G453">
            <v>57954</v>
          </cell>
        </row>
        <row r="454">
          <cell r="F454">
            <v>57954</v>
          </cell>
          <cell r="G454">
            <v>57984</v>
          </cell>
        </row>
        <row r="455">
          <cell r="F455">
            <v>57984</v>
          </cell>
          <cell r="G455">
            <v>58015</v>
          </cell>
        </row>
        <row r="456">
          <cell r="F456">
            <v>58015</v>
          </cell>
          <cell r="G456">
            <v>58045</v>
          </cell>
        </row>
        <row r="457">
          <cell r="F457">
            <v>58045</v>
          </cell>
          <cell r="G457">
            <v>58076</v>
          </cell>
        </row>
        <row r="458">
          <cell r="F458">
            <v>58076</v>
          </cell>
          <cell r="G458">
            <v>58107</v>
          </cell>
        </row>
        <row r="459">
          <cell r="F459">
            <v>58107</v>
          </cell>
          <cell r="G459">
            <v>58135</v>
          </cell>
        </row>
        <row r="460">
          <cell r="F460">
            <v>58135</v>
          </cell>
          <cell r="G460">
            <v>58166</v>
          </cell>
        </row>
        <row r="461">
          <cell r="F461">
            <v>58166</v>
          </cell>
          <cell r="G461">
            <v>58196</v>
          </cell>
        </row>
        <row r="462">
          <cell r="F462">
            <v>58196</v>
          </cell>
          <cell r="G462">
            <v>58227</v>
          </cell>
        </row>
        <row r="463">
          <cell r="F463">
            <v>58227</v>
          </cell>
          <cell r="G463">
            <v>58257</v>
          </cell>
        </row>
        <row r="464">
          <cell r="F464">
            <v>58257</v>
          </cell>
          <cell r="G464">
            <v>58288</v>
          </cell>
        </row>
        <row r="465">
          <cell r="F465">
            <v>58288</v>
          </cell>
          <cell r="G465">
            <v>58319</v>
          </cell>
        </row>
        <row r="466">
          <cell r="F466">
            <v>58319</v>
          </cell>
          <cell r="G466">
            <v>58349</v>
          </cell>
        </row>
        <row r="467">
          <cell r="F467">
            <v>58349</v>
          </cell>
          <cell r="G467">
            <v>58380</v>
          </cell>
        </row>
        <row r="468">
          <cell r="F468">
            <v>58380</v>
          </cell>
          <cell r="G468">
            <v>58410</v>
          </cell>
        </row>
        <row r="469">
          <cell r="F469">
            <v>58410</v>
          </cell>
          <cell r="G469">
            <v>58441</v>
          </cell>
        </row>
        <row r="470">
          <cell r="F470">
            <v>58441</v>
          </cell>
          <cell r="G470">
            <v>58472</v>
          </cell>
        </row>
        <row r="471">
          <cell r="F471">
            <v>58472</v>
          </cell>
          <cell r="G471">
            <v>58501</v>
          </cell>
        </row>
        <row r="472">
          <cell r="F472">
            <v>58501</v>
          </cell>
          <cell r="G472">
            <v>58532</v>
          </cell>
        </row>
        <row r="473">
          <cell r="F473">
            <v>58532</v>
          </cell>
          <cell r="G473">
            <v>58562</v>
          </cell>
        </row>
        <row r="474">
          <cell r="F474">
            <v>58562</v>
          </cell>
          <cell r="G474">
            <v>58593</v>
          </cell>
        </row>
        <row r="475">
          <cell r="F475">
            <v>58593</v>
          </cell>
          <cell r="G475">
            <v>58623</v>
          </cell>
        </row>
        <row r="476">
          <cell r="F476">
            <v>58623</v>
          </cell>
          <cell r="G476">
            <v>58654</v>
          </cell>
        </row>
        <row r="477">
          <cell r="F477">
            <v>58654</v>
          </cell>
          <cell r="G477">
            <v>58685</v>
          </cell>
        </row>
        <row r="478">
          <cell r="F478">
            <v>58685</v>
          </cell>
          <cell r="G478">
            <v>58715</v>
          </cell>
        </row>
        <row r="479">
          <cell r="F479">
            <v>58715</v>
          </cell>
          <cell r="G479">
            <v>58746</v>
          </cell>
        </row>
        <row r="480">
          <cell r="F480">
            <v>58746</v>
          </cell>
          <cell r="G480">
            <v>58776</v>
          </cell>
        </row>
        <row r="481">
          <cell r="F481">
            <v>58776</v>
          </cell>
          <cell r="G481">
            <v>58807</v>
          </cell>
        </row>
        <row r="482">
          <cell r="F482">
            <v>58807</v>
          </cell>
          <cell r="G482">
            <v>58838</v>
          </cell>
        </row>
        <row r="483">
          <cell r="F483">
            <v>58838</v>
          </cell>
          <cell r="G483">
            <v>58866</v>
          </cell>
        </row>
        <row r="484">
          <cell r="F484">
            <v>58866</v>
          </cell>
          <cell r="G484">
            <v>58897</v>
          </cell>
        </row>
        <row r="485">
          <cell r="F485">
            <v>58897</v>
          </cell>
          <cell r="G485">
            <v>58927</v>
          </cell>
        </row>
        <row r="486">
          <cell r="F486">
            <v>58927</v>
          </cell>
          <cell r="G486">
            <v>58958</v>
          </cell>
        </row>
        <row r="487">
          <cell r="F487">
            <v>58958</v>
          </cell>
          <cell r="G487">
            <v>58988</v>
          </cell>
        </row>
        <row r="488">
          <cell r="F488">
            <v>58988</v>
          </cell>
          <cell r="G488">
            <v>59019</v>
          </cell>
        </row>
        <row r="489">
          <cell r="F489">
            <v>59019</v>
          </cell>
          <cell r="G489">
            <v>59050</v>
          </cell>
        </row>
        <row r="490">
          <cell r="F490">
            <v>59050</v>
          </cell>
          <cell r="G490">
            <v>59080</v>
          </cell>
        </row>
        <row r="491">
          <cell r="F491">
            <v>59080</v>
          </cell>
          <cell r="G491">
            <v>59111</v>
          </cell>
        </row>
        <row r="492">
          <cell r="F492">
            <v>59111</v>
          </cell>
          <cell r="G492">
            <v>59141</v>
          </cell>
        </row>
        <row r="493">
          <cell r="F493">
            <v>59141</v>
          </cell>
          <cell r="G493">
            <v>59172</v>
          </cell>
        </row>
        <row r="494">
          <cell r="F494">
            <v>59172</v>
          </cell>
          <cell r="G494">
            <v>59203</v>
          </cell>
        </row>
        <row r="495">
          <cell r="F495">
            <v>59203</v>
          </cell>
          <cell r="G495">
            <v>59231</v>
          </cell>
        </row>
        <row r="496">
          <cell r="F496">
            <v>59231</v>
          </cell>
          <cell r="G496">
            <v>59262</v>
          </cell>
        </row>
        <row r="497">
          <cell r="F497">
            <v>59262</v>
          </cell>
          <cell r="G497">
            <v>59292</v>
          </cell>
        </row>
        <row r="498">
          <cell r="F498">
            <v>59292</v>
          </cell>
          <cell r="G498">
            <v>59323</v>
          </cell>
        </row>
        <row r="499">
          <cell r="F499">
            <v>59323</v>
          </cell>
          <cell r="G499">
            <v>59353</v>
          </cell>
        </row>
        <row r="500">
          <cell r="F500">
            <v>59353</v>
          </cell>
          <cell r="G500">
            <v>59384</v>
          </cell>
        </row>
        <row r="501">
          <cell r="F501">
            <v>59384</v>
          </cell>
          <cell r="G501">
            <v>59415</v>
          </cell>
        </row>
        <row r="502">
          <cell r="F502">
            <v>59415</v>
          </cell>
          <cell r="G502">
            <v>59445</v>
          </cell>
        </row>
        <row r="503">
          <cell r="F503">
            <v>59445</v>
          </cell>
          <cell r="G503">
            <v>59476</v>
          </cell>
        </row>
        <row r="504">
          <cell r="F504">
            <v>59476</v>
          </cell>
          <cell r="G504">
            <v>59506</v>
          </cell>
        </row>
        <row r="505">
          <cell r="F505">
            <v>59506</v>
          </cell>
          <cell r="G505">
            <v>59537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579D-7575-421D-AB68-F352C6C02FD4}">
  <sheetPr>
    <tabColor rgb="FF00B0F0"/>
  </sheetPr>
  <dimension ref="A1:V191"/>
  <sheetViews>
    <sheetView tabSelected="1" view="pageLayout" topLeftCell="A52" zoomScale="85" zoomScaleNormal="50" zoomScaleSheetLayoutView="50" zoomScalePageLayoutView="85" workbookViewId="0">
      <selection activeCell="B45" sqref="B45"/>
    </sheetView>
  </sheetViews>
  <sheetFormatPr baseColWidth="10" defaultColWidth="10.7109375" defaultRowHeight="15" x14ac:dyDescent="0.25"/>
  <cols>
    <col min="1" max="1" width="4.42578125" style="155" bestFit="1" customWidth="1"/>
    <col min="2" max="2" width="31.85546875" style="155" customWidth="1"/>
    <col min="3" max="3" width="18.28515625" style="155" bestFit="1" customWidth="1"/>
    <col min="4" max="4" width="17" style="155" customWidth="1"/>
    <col min="5" max="5" width="24.28515625" style="155" customWidth="1"/>
    <col min="6" max="6" width="25.140625" style="155" bestFit="1" customWidth="1"/>
    <col min="7" max="7" width="26" style="155" customWidth="1"/>
    <col min="8" max="8" width="18.28515625" style="155" customWidth="1"/>
    <col min="9" max="9" width="30.140625" style="155" bestFit="1" customWidth="1"/>
    <col min="10" max="10" width="26" style="155" customWidth="1"/>
    <col min="11" max="11" width="20.28515625" style="155" customWidth="1"/>
    <col min="12" max="12" width="34.7109375" style="155" customWidth="1"/>
    <col min="13" max="13" width="18.7109375" style="155" customWidth="1"/>
    <col min="14" max="231" width="10.7109375" style="155"/>
    <col min="232" max="232" width="4.42578125" style="155" bestFit="1" customWidth="1"/>
    <col min="233" max="233" width="25.7109375" style="155" customWidth="1"/>
    <col min="234" max="234" width="18.28515625" style="155" bestFit="1" customWidth="1"/>
    <col min="235" max="235" width="17" style="155" customWidth="1"/>
    <col min="236" max="236" width="21.5703125" style="155" bestFit="1" customWidth="1"/>
    <col min="237" max="237" width="18.42578125" style="155" bestFit="1" customWidth="1"/>
    <col min="238" max="238" width="26" style="155" customWidth="1"/>
    <col min="239" max="239" width="18.28515625" style="155" customWidth="1"/>
    <col min="240" max="240" width="19.140625" style="155" customWidth="1"/>
    <col min="241" max="241" width="26" style="155" customWidth="1"/>
    <col min="242" max="242" width="20.28515625" style="155" customWidth="1"/>
    <col min="243" max="243" width="18.28515625" style="155" customWidth="1"/>
    <col min="244" max="244" width="15.28515625" style="155" bestFit="1" customWidth="1"/>
    <col min="245" max="245" width="16" style="155" bestFit="1" customWidth="1"/>
    <col min="246" max="246" width="16" style="155" customWidth="1"/>
    <col min="247" max="255" width="16" style="155" bestFit="1" customWidth="1"/>
    <col min="256" max="256" width="17.140625" style="155" bestFit="1" customWidth="1"/>
    <col min="257" max="257" width="16" style="155" bestFit="1" customWidth="1"/>
    <col min="258" max="258" width="10.7109375" style="155"/>
    <col min="259" max="259" width="13.42578125" style="155" bestFit="1" customWidth="1"/>
    <col min="260" max="487" width="10.7109375" style="155"/>
    <col min="488" max="488" width="4.42578125" style="155" bestFit="1" customWidth="1"/>
    <col min="489" max="489" width="25.7109375" style="155" customWidth="1"/>
    <col min="490" max="490" width="18.28515625" style="155" bestFit="1" customWidth="1"/>
    <col min="491" max="491" width="17" style="155" customWidth="1"/>
    <col min="492" max="492" width="21.5703125" style="155" bestFit="1" customWidth="1"/>
    <col min="493" max="493" width="18.42578125" style="155" bestFit="1" customWidth="1"/>
    <col min="494" max="494" width="26" style="155" customWidth="1"/>
    <col min="495" max="495" width="18.28515625" style="155" customWidth="1"/>
    <col min="496" max="496" width="19.140625" style="155" customWidth="1"/>
    <col min="497" max="497" width="26" style="155" customWidth="1"/>
    <col min="498" max="498" width="20.28515625" style="155" customWidth="1"/>
    <col min="499" max="499" width="18.28515625" style="155" customWidth="1"/>
    <col min="500" max="500" width="15.28515625" style="155" bestFit="1" customWidth="1"/>
    <col min="501" max="501" width="16" style="155" bestFit="1" customWidth="1"/>
    <col min="502" max="502" width="16" style="155" customWidth="1"/>
    <col min="503" max="511" width="16" style="155" bestFit="1" customWidth="1"/>
    <col min="512" max="512" width="17.140625" style="155" bestFit="1" customWidth="1"/>
    <col min="513" max="513" width="16" style="155" bestFit="1" customWidth="1"/>
    <col min="514" max="514" width="10.7109375" style="155"/>
    <col min="515" max="515" width="13.42578125" style="155" bestFit="1" customWidth="1"/>
    <col min="516" max="743" width="10.7109375" style="155"/>
    <col min="744" max="744" width="4.42578125" style="155" bestFit="1" customWidth="1"/>
    <col min="745" max="745" width="25.7109375" style="155" customWidth="1"/>
    <col min="746" max="746" width="18.28515625" style="155" bestFit="1" customWidth="1"/>
    <col min="747" max="747" width="17" style="155" customWidth="1"/>
    <col min="748" max="748" width="21.5703125" style="155" bestFit="1" customWidth="1"/>
    <col min="749" max="749" width="18.42578125" style="155" bestFit="1" customWidth="1"/>
    <col min="750" max="750" width="26" style="155" customWidth="1"/>
    <col min="751" max="751" width="18.28515625" style="155" customWidth="1"/>
    <col min="752" max="752" width="19.140625" style="155" customWidth="1"/>
    <col min="753" max="753" width="26" style="155" customWidth="1"/>
    <col min="754" max="754" width="20.28515625" style="155" customWidth="1"/>
    <col min="755" max="755" width="18.28515625" style="155" customWidth="1"/>
    <col min="756" max="756" width="15.28515625" style="155" bestFit="1" customWidth="1"/>
    <col min="757" max="757" width="16" style="155" bestFit="1" customWidth="1"/>
    <col min="758" max="758" width="16" style="155" customWidth="1"/>
    <col min="759" max="767" width="16" style="155" bestFit="1" customWidth="1"/>
    <col min="768" max="768" width="17.140625" style="155" bestFit="1" customWidth="1"/>
    <col min="769" max="769" width="16" style="155" bestFit="1" customWidth="1"/>
    <col min="770" max="770" width="10.7109375" style="155"/>
    <col min="771" max="771" width="13.42578125" style="155" bestFit="1" customWidth="1"/>
    <col min="772" max="999" width="10.7109375" style="155"/>
    <col min="1000" max="1000" width="4.42578125" style="155" bestFit="1" customWidth="1"/>
    <col min="1001" max="1001" width="25.7109375" style="155" customWidth="1"/>
    <col min="1002" max="1002" width="18.28515625" style="155" bestFit="1" customWidth="1"/>
    <col min="1003" max="1003" width="17" style="155" customWidth="1"/>
    <col min="1004" max="1004" width="21.5703125" style="155" bestFit="1" customWidth="1"/>
    <col min="1005" max="1005" width="18.42578125" style="155" bestFit="1" customWidth="1"/>
    <col min="1006" max="1006" width="26" style="155" customWidth="1"/>
    <col min="1007" max="1007" width="18.28515625" style="155" customWidth="1"/>
    <col min="1008" max="1008" width="19.140625" style="155" customWidth="1"/>
    <col min="1009" max="1009" width="26" style="155" customWidth="1"/>
    <col min="1010" max="1010" width="20.28515625" style="155" customWidth="1"/>
    <col min="1011" max="1011" width="18.28515625" style="155" customWidth="1"/>
    <col min="1012" max="1012" width="15.28515625" style="155" bestFit="1" customWidth="1"/>
    <col min="1013" max="1013" width="16" style="155" bestFit="1" customWidth="1"/>
    <col min="1014" max="1014" width="16" style="155" customWidth="1"/>
    <col min="1015" max="1023" width="16" style="155" bestFit="1" customWidth="1"/>
    <col min="1024" max="1024" width="17.140625" style="155" bestFit="1" customWidth="1"/>
    <col min="1025" max="1025" width="16" style="155" bestFit="1" customWidth="1"/>
    <col min="1026" max="1026" width="10.7109375" style="155"/>
    <col min="1027" max="1027" width="13.42578125" style="155" bestFit="1" customWidth="1"/>
    <col min="1028" max="1255" width="10.7109375" style="155"/>
    <col min="1256" max="1256" width="4.42578125" style="155" bestFit="1" customWidth="1"/>
    <col min="1257" max="1257" width="25.7109375" style="155" customWidth="1"/>
    <col min="1258" max="1258" width="18.28515625" style="155" bestFit="1" customWidth="1"/>
    <col min="1259" max="1259" width="17" style="155" customWidth="1"/>
    <col min="1260" max="1260" width="21.5703125" style="155" bestFit="1" customWidth="1"/>
    <col min="1261" max="1261" width="18.42578125" style="155" bestFit="1" customWidth="1"/>
    <col min="1262" max="1262" width="26" style="155" customWidth="1"/>
    <col min="1263" max="1263" width="18.28515625" style="155" customWidth="1"/>
    <col min="1264" max="1264" width="19.140625" style="155" customWidth="1"/>
    <col min="1265" max="1265" width="26" style="155" customWidth="1"/>
    <col min="1266" max="1266" width="20.28515625" style="155" customWidth="1"/>
    <col min="1267" max="1267" width="18.28515625" style="155" customWidth="1"/>
    <col min="1268" max="1268" width="15.28515625" style="155" bestFit="1" customWidth="1"/>
    <col min="1269" max="1269" width="16" style="155" bestFit="1" customWidth="1"/>
    <col min="1270" max="1270" width="16" style="155" customWidth="1"/>
    <col min="1271" max="1279" width="16" style="155" bestFit="1" customWidth="1"/>
    <col min="1280" max="1280" width="17.140625" style="155" bestFit="1" customWidth="1"/>
    <col min="1281" max="1281" width="16" style="155" bestFit="1" customWidth="1"/>
    <col min="1282" max="1282" width="10.7109375" style="155"/>
    <col min="1283" max="1283" width="13.42578125" style="155" bestFit="1" customWidth="1"/>
    <col min="1284" max="1511" width="10.7109375" style="155"/>
    <col min="1512" max="1512" width="4.42578125" style="155" bestFit="1" customWidth="1"/>
    <col min="1513" max="1513" width="25.7109375" style="155" customWidth="1"/>
    <col min="1514" max="1514" width="18.28515625" style="155" bestFit="1" customWidth="1"/>
    <col min="1515" max="1515" width="17" style="155" customWidth="1"/>
    <col min="1516" max="1516" width="21.5703125" style="155" bestFit="1" customWidth="1"/>
    <col min="1517" max="1517" width="18.42578125" style="155" bestFit="1" customWidth="1"/>
    <col min="1518" max="1518" width="26" style="155" customWidth="1"/>
    <col min="1519" max="1519" width="18.28515625" style="155" customWidth="1"/>
    <col min="1520" max="1520" width="19.140625" style="155" customWidth="1"/>
    <col min="1521" max="1521" width="26" style="155" customWidth="1"/>
    <col min="1522" max="1522" width="20.28515625" style="155" customWidth="1"/>
    <col min="1523" max="1523" width="18.28515625" style="155" customWidth="1"/>
    <col min="1524" max="1524" width="15.28515625" style="155" bestFit="1" customWidth="1"/>
    <col min="1525" max="1525" width="16" style="155" bestFit="1" customWidth="1"/>
    <col min="1526" max="1526" width="16" style="155" customWidth="1"/>
    <col min="1527" max="1535" width="16" style="155" bestFit="1" customWidth="1"/>
    <col min="1536" max="1536" width="17.140625" style="155" bestFit="1" customWidth="1"/>
    <col min="1537" max="1537" width="16" style="155" bestFit="1" customWidth="1"/>
    <col min="1538" max="1538" width="10.7109375" style="155"/>
    <col min="1539" max="1539" width="13.42578125" style="155" bestFit="1" customWidth="1"/>
    <col min="1540" max="1767" width="10.7109375" style="155"/>
    <col min="1768" max="1768" width="4.42578125" style="155" bestFit="1" customWidth="1"/>
    <col min="1769" max="1769" width="25.7109375" style="155" customWidth="1"/>
    <col min="1770" max="1770" width="18.28515625" style="155" bestFit="1" customWidth="1"/>
    <col min="1771" max="1771" width="17" style="155" customWidth="1"/>
    <col min="1772" max="1772" width="21.5703125" style="155" bestFit="1" customWidth="1"/>
    <col min="1773" max="1773" width="18.42578125" style="155" bestFit="1" customWidth="1"/>
    <col min="1774" max="1774" width="26" style="155" customWidth="1"/>
    <col min="1775" max="1775" width="18.28515625" style="155" customWidth="1"/>
    <col min="1776" max="1776" width="19.140625" style="155" customWidth="1"/>
    <col min="1777" max="1777" width="26" style="155" customWidth="1"/>
    <col min="1778" max="1778" width="20.28515625" style="155" customWidth="1"/>
    <col min="1779" max="1779" width="18.28515625" style="155" customWidth="1"/>
    <col min="1780" max="1780" width="15.28515625" style="155" bestFit="1" customWidth="1"/>
    <col min="1781" max="1781" width="16" style="155" bestFit="1" customWidth="1"/>
    <col min="1782" max="1782" width="16" style="155" customWidth="1"/>
    <col min="1783" max="1791" width="16" style="155" bestFit="1" customWidth="1"/>
    <col min="1792" max="1792" width="17.140625" style="155" bestFit="1" customWidth="1"/>
    <col min="1793" max="1793" width="16" style="155" bestFit="1" customWidth="1"/>
    <col min="1794" max="1794" width="10.7109375" style="155"/>
    <col min="1795" max="1795" width="13.42578125" style="155" bestFit="1" customWidth="1"/>
    <col min="1796" max="2023" width="10.7109375" style="155"/>
    <col min="2024" max="2024" width="4.42578125" style="155" bestFit="1" customWidth="1"/>
    <col min="2025" max="2025" width="25.7109375" style="155" customWidth="1"/>
    <col min="2026" max="2026" width="18.28515625" style="155" bestFit="1" customWidth="1"/>
    <col min="2027" max="2027" width="17" style="155" customWidth="1"/>
    <col min="2028" max="2028" width="21.5703125" style="155" bestFit="1" customWidth="1"/>
    <col min="2029" max="2029" width="18.42578125" style="155" bestFit="1" customWidth="1"/>
    <col min="2030" max="2030" width="26" style="155" customWidth="1"/>
    <col min="2031" max="2031" width="18.28515625" style="155" customWidth="1"/>
    <col min="2032" max="2032" width="19.140625" style="155" customWidth="1"/>
    <col min="2033" max="2033" width="26" style="155" customWidth="1"/>
    <col min="2034" max="2034" width="20.28515625" style="155" customWidth="1"/>
    <col min="2035" max="2035" width="18.28515625" style="155" customWidth="1"/>
    <col min="2036" max="2036" width="15.28515625" style="155" bestFit="1" customWidth="1"/>
    <col min="2037" max="2037" width="16" style="155" bestFit="1" customWidth="1"/>
    <col min="2038" max="2038" width="16" style="155" customWidth="1"/>
    <col min="2039" max="2047" width="16" style="155" bestFit="1" customWidth="1"/>
    <col min="2048" max="2048" width="17.140625" style="155" bestFit="1" customWidth="1"/>
    <col min="2049" max="2049" width="16" style="155" bestFit="1" customWidth="1"/>
    <col min="2050" max="2050" width="10.7109375" style="155"/>
    <col min="2051" max="2051" width="13.42578125" style="155" bestFit="1" customWidth="1"/>
    <col min="2052" max="2279" width="10.7109375" style="155"/>
    <col min="2280" max="2280" width="4.42578125" style="155" bestFit="1" customWidth="1"/>
    <col min="2281" max="2281" width="25.7109375" style="155" customWidth="1"/>
    <col min="2282" max="2282" width="18.28515625" style="155" bestFit="1" customWidth="1"/>
    <col min="2283" max="2283" width="17" style="155" customWidth="1"/>
    <col min="2284" max="2284" width="21.5703125" style="155" bestFit="1" customWidth="1"/>
    <col min="2285" max="2285" width="18.42578125" style="155" bestFit="1" customWidth="1"/>
    <col min="2286" max="2286" width="26" style="155" customWidth="1"/>
    <col min="2287" max="2287" width="18.28515625" style="155" customWidth="1"/>
    <col min="2288" max="2288" width="19.140625" style="155" customWidth="1"/>
    <col min="2289" max="2289" width="26" style="155" customWidth="1"/>
    <col min="2290" max="2290" width="20.28515625" style="155" customWidth="1"/>
    <col min="2291" max="2291" width="18.28515625" style="155" customWidth="1"/>
    <col min="2292" max="2292" width="15.28515625" style="155" bestFit="1" customWidth="1"/>
    <col min="2293" max="2293" width="16" style="155" bestFit="1" customWidth="1"/>
    <col min="2294" max="2294" width="16" style="155" customWidth="1"/>
    <col min="2295" max="2303" width="16" style="155" bestFit="1" customWidth="1"/>
    <col min="2304" max="2304" width="17.140625" style="155" bestFit="1" customWidth="1"/>
    <col min="2305" max="2305" width="16" style="155" bestFit="1" customWidth="1"/>
    <col min="2306" max="2306" width="10.7109375" style="155"/>
    <col min="2307" max="2307" width="13.42578125" style="155" bestFit="1" customWidth="1"/>
    <col min="2308" max="2535" width="10.7109375" style="155"/>
    <col min="2536" max="2536" width="4.42578125" style="155" bestFit="1" customWidth="1"/>
    <col min="2537" max="2537" width="25.7109375" style="155" customWidth="1"/>
    <col min="2538" max="2538" width="18.28515625" style="155" bestFit="1" customWidth="1"/>
    <col min="2539" max="2539" width="17" style="155" customWidth="1"/>
    <col min="2540" max="2540" width="21.5703125" style="155" bestFit="1" customWidth="1"/>
    <col min="2541" max="2541" width="18.42578125" style="155" bestFit="1" customWidth="1"/>
    <col min="2542" max="2542" width="26" style="155" customWidth="1"/>
    <col min="2543" max="2543" width="18.28515625" style="155" customWidth="1"/>
    <col min="2544" max="2544" width="19.140625" style="155" customWidth="1"/>
    <col min="2545" max="2545" width="26" style="155" customWidth="1"/>
    <col min="2546" max="2546" width="20.28515625" style="155" customWidth="1"/>
    <col min="2547" max="2547" width="18.28515625" style="155" customWidth="1"/>
    <col min="2548" max="2548" width="15.28515625" style="155" bestFit="1" customWidth="1"/>
    <col min="2549" max="2549" width="16" style="155" bestFit="1" customWidth="1"/>
    <col min="2550" max="2550" width="16" style="155" customWidth="1"/>
    <col min="2551" max="2559" width="16" style="155" bestFit="1" customWidth="1"/>
    <col min="2560" max="2560" width="17.140625" style="155" bestFit="1" customWidth="1"/>
    <col min="2561" max="2561" width="16" style="155" bestFit="1" customWidth="1"/>
    <col min="2562" max="2562" width="10.7109375" style="155"/>
    <col min="2563" max="2563" width="13.42578125" style="155" bestFit="1" customWidth="1"/>
    <col min="2564" max="2791" width="10.7109375" style="155"/>
    <col min="2792" max="2792" width="4.42578125" style="155" bestFit="1" customWidth="1"/>
    <col min="2793" max="2793" width="25.7109375" style="155" customWidth="1"/>
    <col min="2794" max="2794" width="18.28515625" style="155" bestFit="1" customWidth="1"/>
    <col min="2795" max="2795" width="17" style="155" customWidth="1"/>
    <col min="2796" max="2796" width="21.5703125" style="155" bestFit="1" customWidth="1"/>
    <col min="2797" max="2797" width="18.42578125" style="155" bestFit="1" customWidth="1"/>
    <col min="2798" max="2798" width="26" style="155" customWidth="1"/>
    <col min="2799" max="2799" width="18.28515625" style="155" customWidth="1"/>
    <col min="2800" max="2800" width="19.140625" style="155" customWidth="1"/>
    <col min="2801" max="2801" width="26" style="155" customWidth="1"/>
    <col min="2802" max="2802" width="20.28515625" style="155" customWidth="1"/>
    <col min="2803" max="2803" width="18.28515625" style="155" customWidth="1"/>
    <col min="2804" max="2804" width="15.28515625" style="155" bestFit="1" customWidth="1"/>
    <col min="2805" max="2805" width="16" style="155" bestFit="1" customWidth="1"/>
    <col min="2806" max="2806" width="16" style="155" customWidth="1"/>
    <col min="2807" max="2815" width="16" style="155" bestFit="1" customWidth="1"/>
    <col min="2816" max="2816" width="17.140625" style="155" bestFit="1" customWidth="1"/>
    <col min="2817" max="2817" width="16" style="155" bestFit="1" customWidth="1"/>
    <col min="2818" max="2818" width="10.7109375" style="155"/>
    <col min="2819" max="2819" width="13.42578125" style="155" bestFit="1" customWidth="1"/>
    <col min="2820" max="3047" width="10.7109375" style="155"/>
    <col min="3048" max="3048" width="4.42578125" style="155" bestFit="1" customWidth="1"/>
    <col min="3049" max="3049" width="25.7109375" style="155" customWidth="1"/>
    <col min="3050" max="3050" width="18.28515625" style="155" bestFit="1" customWidth="1"/>
    <col min="3051" max="3051" width="17" style="155" customWidth="1"/>
    <col min="3052" max="3052" width="21.5703125" style="155" bestFit="1" customWidth="1"/>
    <col min="3053" max="3053" width="18.42578125" style="155" bestFit="1" customWidth="1"/>
    <col min="3054" max="3054" width="26" style="155" customWidth="1"/>
    <col min="3055" max="3055" width="18.28515625" style="155" customWidth="1"/>
    <col min="3056" max="3056" width="19.140625" style="155" customWidth="1"/>
    <col min="3057" max="3057" width="26" style="155" customWidth="1"/>
    <col min="3058" max="3058" width="20.28515625" style="155" customWidth="1"/>
    <col min="3059" max="3059" width="18.28515625" style="155" customWidth="1"/>
    <col min="3060" max="3060" width="15.28515625" style="155" bestFit="1" customWidth="1"/>
    <col min="3061" max="3061" width="16" style="155" bestFit="1" customWidth="1"/>
    <col min="3062" max="3062" width="16" style="155" customWidth="1"/>
    <col min="3063" max="3071" width="16" style="155" bestFit="1" customWidth="1"/>
    <col min="3072" max="3072" width="17.140625" style="155" bestFit="1" customWidth="1"/>
    <col min="3073" max="3073" width="16" style="155" bestFit="1" customWidth="1"/>
    <col min="3074" max="3074" width="10.7109375" style="155"/>
    <col min="3075" max="3075" width="13.42578125" style="155" bestFit="1" customWidth="1"/>
    <col min="3076" max="3303" width="10.7109375" style="155"/>
    <col min="3304" max="3304" width="4.42578125" style="155" bestFit="1" customWidth="1"/>
    <col min="3305" max="3305" width="25.7109375" style="155" customWidth="1"/>
    <col min="3306" max="3306" width="18.28515625" style="155" bestFit="1" customWidth="1"/>
    <col min="3307" max="3307" width="17" style="155" customWidth="1"/>
    <col min="3308" max="3308" width="21.5703125" style="155" bestFit="1" customWidth="1"/>
    <col min="3309" max="3309" width="18.42578125" style="155" bestFit="1" customWidth="1"/>
    <col min="3310" max="3310" width="26" style="155" customWidth="1"/>
    <col min="3311" max="3311" width="18.28515625" style="155" customWidth="1"/>
    <col min="3312" max="3312" width="19.140625" style="155" customWidth="1"/>
    <col min="3313" max="3313" width="26" style="155" customWidth="1"/>
    <col min="3314" max="3314" width="20.28515625" style="155" customWidth="1"/>
    <col min="3315" max="3315" width="18.28515625" style="155" customWidth="1"/>
    <col min="3316" max="3316" width="15.28515625" style="155" bestFit="1" customWidth="1"/>
    <col min="3317" max="3317" width="16" style="155" bestFit="1" customWidth="1"/>
    <col min="3318" max="3318" width="16" style="155" customWidth="1"/>
    <col min="3319" max="3327" width="16" style="155" bestFit="1" customWidth="1"/>
    <col min="3328" max="3328" width="17.140625" style="155" bestFit="1" customWidth="1"/>
    <col min="3329" max="3329" width="16" style="155" bestFit="1" customWidth="1"/>
    <col min="3330" max="3330" width="10.7109375" style="155"/>
    <col min="3331" max="3331" width="13.42578125" style="155" bestFit="1" customWidth="1"/>
    <col min="3332" max="3559" width="10.7109375" style="155"/>
    <col min="3560" max="3560" width="4.42578125" style="155" bestFit="1" customWidth="1"/>
    <col min="3561" max="3561" width="25.7109375" style="155" customWidth="1"/>
    <col min="3562" max="3562" width="18.28515625" style="155" bestFit="1" customWidth="1"/>
    <col min="3563" max="3563" width="17" style="155" customWidth="1"/>
    <col min="3564" max="3564" width="21.5703125" style="155" bestFit="1" customWidth="1"/>
    <col min="3565" max="3565" width="18.42578125" style="155" bestFit="1" customWidth="1"/>
    <col min="3566" max="3566" width="26" style="155" customWidth="1"/>
    <col min="3567" max="3567" width="18.28515625" style="155" customWidth="1"/>
    <col min="3568" max="3568" width="19.140625" style="155" customWidth="1"/>
    <col min="3569" max="3569" width="26" style="155" customWidth="1"/>
    <col min="3570" max="3570" width="20.28515625" style="155" customWidth="1"/>
    <col min="3571" max="3571" width="18.28515625" style="155" customWidth="1"/>
    <col min="3572" max="3572" width="15.28515625" style="155" bestFit="1" customWidth="1"/>
    <col min="3573" max="3573" width="16" style="155" bestFit="1" customWidth="1"/>
    <col min="3574" max="3574" width="16" style="155" customWidth="1"/>
    <col min="3575" max="3583" width="16" style="155" bestFit="1" customWidth="1"/>
    <col min="3584" max="3584" width="17.140625" style="155" bestFit="1" customWidth="1"/>
    <col min="3585" max="3585" width="16" style="155" bestFit="1" customWidth="1"/>
    <col min="3586" max="3586" width="10.7109375" style="155"/>
    <col min="3587" max="3587" width="13.42578125" style="155" bestFit="1" customWidth="1"/>
    <col min="3588" max="3815" width="10.7109375" style="155"/>
    <col min="3816" max="3816" width="4.42578125" style="155" bestFit="1" customWidth="1"/>
    <col min="3817" max="3817" width="25.7109375" style="155" customWidth="1"/>
    <col min="3818" max="3818" width="18.28515625" style="155" bestFit="1" customWidth="1"/>
    <col min="3819" max="3819" width="17" style="155" customWidth="1"/>
    <col min="3820" max="3820" width="21.5703125" style="155" bestFit="1" customWidth="1"/>
    <col min="3821" max="3821" width="18.42578125" style="155" bestFit="1" customWidth="1"/>
    <col min="3822" max="3822" width="26" style="155" customWidth="1"/>
    <col min="3823" max="3823" width="18.28515625" style="155" customWidth="1"/>
    <col min="3824" max="3824" width="19.140625" style="155" customWidth="1"/>
    <col min="3825" max="3825" width="26" style="155" customWidth="1"/>
    <col min="3826" max="3826" width="20.28515625" style="155" customWidth="1"/>
    <col min="3827" max="3827" width="18.28515625" style="155" customWidth="1"/>
    <col min="3828" max="3828" width="15.28515625" style="155" bestFit="1" customWidth="1"/>
    <col min="3829" max="3829" width="16" style="155" bestFit="1" customWidth="1"/>
    <col min="3830" max="3830" width="16" style="155" customWidth="1"/>
    <col min="3831" max="3839" width="16" style="155" bestFit="1" customWidth="1"/>
    <col min="3840" max="3840" width="17.140625" style="155" bestFit="1" customWidth="1"/>
    <col min="3841" max="3841" width="16" style="155" bestFit="1" customWidth="1"/>
    <col min="3842" max="3842" width="10.7109375" style="155"/>
    <col min="3843" max="3843" width="13.42578125" style="155" bestFit="1" customWidth="1"/>
    <col min="3844" max="4071" width="10.7109375" style="155"/>
    <col min="4072" max="4072" width="4.42578125" style="155" bestFit="1" customWidth="1"/>
    <col min="4073" max="4073" width="25.7109375" style="155" customWidth="1"/>
    <col min="4074" max="4074" width="18.28515625" style="155" bestFit="1" customWidth="1"/>
    <col min="4075" max="4075" width="17" style="155" customWidth="1"/>
    <col min="4076" max="4076" width="21.5703125" style="155" bestFit="1" customWidth="1"/>
    <col min="4077" max="4077" width="18.42578125" style="155" bestFit="1" customWidth="1"/>
    <col min="4078" max="4078" width="26" style="155" customWidth="1"/>
    <col min="4079" max="4079" width="18.28515625" style="155" customWidth="1"/>
    <col min="4080" max="4080" width="19.140625" style="155" customWidth="1"/>
    <col min="4081" max="4081" width="26" style="155" customWidth="1"/>
    <col min="4082" max="4082" width="20.28515625" style="155" customWidth="1"/>
    <col min="4083" max="4083" width="18.28515625" style="155" customWidth="1"/>
    <col min="4084" max="4084" width="15.28515625" style="155" bestFit="1" customWidth="1"/>
    <col min="4085" max="4085" width="16" style="155" bestFit="1" customWidth="1"/>
    <col min="4086" max="4086" width="16" style="155" customWidth="1"/>
    <col min="4087" max="4095" width="16" style="155" bestFit="1" customWidth="1"/>
    <col min="4096" max="4096" width="17.140625" style="155" bestFit="1" customWidth="1"/>
    <col min="4097" max="4097" width="16" style="155" bestFit="1" customWidth="1"/>
    <col min="4098" max="4098" width="10.7109375" style="155"/>
    <col min="4099" max="4099" width="13.42578125" style="155" bestFit="1" customWidth="1"/>
    <col min="4100" max="4327" width="10.7109375" style="155"/>
    <col min="4328" max="4328" width="4.42578125" style="155" bestFit="1" customWidth="1"/>
    <col min="4329" max="4329" width="25.7109375" style="155" customWidth="1"/>
    <col min="4330" max="4330" width="18.28515625" style="155" bestFit="1" customWidth="1"/>
    <col min="4331" max="4331" width="17" style="155" customWidth="1"/>
    <col min="4332" max="4332" width="21.5703125" style="155" bestFit="1" customWidth="1"/>
    <col min="4333" max="4333" width="18.42578125" style="155" bestFit="1" customWidth="1"/>
    <col min="4334" max="4334" width="26" style="155" customWidth="1"/>
    <col min="4335" max="4335" width="18.28515625" style="155" customWidth="1"/>
    <col min="4336" max="4336" width="19.140625" style="155" customWidth="1"/>
    <col min="4337" max="4337" width="26" style="155" customWidth="1"/>
    <col min="4338" max="4338" width="20.28515625" style="155" customWidth="1"/>
    <col min="4339" max="4339" width="18.28515625" style="155" customWidth="1"/>
    <col min="4340" max="4340" width="15.28515625" style="155" bestFit="1" customWidth="1"/>
    <col min="4341" max="4341" width="16" style="155" bestFit="1" customWidth="1"/>
    <col min="4342" max="4342" width="16" style="155" customWidth="1"/>
    <col min="4343" max="4351" width="16" style="155" bestFit="1" customWidth="1"/>
    <col min="4352" max="4352" width="17.140625" style="155" bestFit="1" customWidth="1"/>
    <col min="4353" max="4353" width="16" style="155" bestFit="1" customWidth="1"/>
    <col min="4354" max="4354" width="10.7109375" style="155"/>
    <col min="4355" max="4355" width="13.42578125" style="155" bestFit="1" customWidth="1"/>
    <col min="4356" max="4583" width="10.7109375" style="155"/>
    <col min="4584" max="4584" width="4.42578125" style="155" bestFit="1" customWidth="1"/>
    <col min="4585" max="4585" width="25.7109375" style="155" customWidth="1"/>
    <col min="4586" max="4586" width="18.28515625" style="155" bestFit="1" customWidth="1"/>
    <col min="4587" max="4587" width="17" style="155" customWidth="1"/>
    <col min="4588" max="4588" width="21.5703125" style="155" bestFit="1" customWidth="1"/>
    <col min="4589" max="4589" width="18.42578125" style="155" bestFit="1" customWidth="1"/>
    <col min="4590" max="4590" width="26" style="155" customWidth="1"/>
    <col min="4591" max="4591" width="18.28515625" style="155" customWidth="1"/>
    <col min="4592" max="4592" width="19.140625" style="155" customWidth="1"/>
    <col min="4593" max="4593" width="26" style="155" customWidth="1"/>
    <col min="4594" max="4594" width="20.28515625" style="155" customWidth="1"/>
    <col min="4595" max="4595" width="18.28515625" style="155" customWidth="1"/>
    <col min="4596" max="4596" width="15.28515625" style="155" bestFit="1" customWidth="1"/>
    <col min="4597" max="4597" width="16" style="155" bestFit="1" customWidth="1"/>
    <col min="4598" max="4598" width="16" style="155" customWidth="1"/>
    <col min="4599" max="4607" width="16" style="155" bestFit="1" customWidth="1"/>
    <col min="4608" max="4608" width="17.140625" style="155" bestFit="1" customWidth="1"/>
    <col min="4609" max="4609" width="16" style="155" bestFit="1" customWidth="1"/>
    <col min="4610" max="4610" width="10.7109375" style="155"/>
    <col min="4611" max="4611" width="13.42578125" style="155" bestFit="1" customWidth="1"/>
    <col min="4612" max="4839" width="10.7109375" style="155"/>
    <col min="4840" max="4840" width="4.42578125" style="155" bestFit="1" customWidth="1"/>
    <col min="4841" max="4841" width="25.7109375" style="155" customWidth="1"/>
    <col min="4842" max="4842" width="18.28515625" style="155" bestFit="1" customWidth="1"/>
    <col min="4843" max="4843" width="17" style="155" customWidth="1"/>
    <col min="4844" max="4844" width="21.5703125" style="155" bestFit="1" customWidth="1"/>
    <col min="4845" max="4845" width="18.42578125" style="155" bestFit="1" customWidth="1"/>
    <col min="4846" max="4846" width="26" style="155" customWidth="1"/>
    <col min="4847" max="4847" width="18.28515625" style="155" customWidth="1"/>
    <col min="4848" max="4848" width="19.140625" style="155" customWidth="1"/>
    <col min="4849" max="4849" width="26" style="155" customWidth="1"/>
    <col min="4850" max="4850" width="20.28515625" style="155" customWidth="1"/>
    <col min="4851" max="4851" width="18.28515625" style="155" customWidth="1"/>
    <col min="4852" max="4852" width="15.28515625" style="155" bestFit="1" customWidth="1"/>
    <col min="4853" max="4853" width="16" style="155" bestFit="1" customWidth="1"/>
    <col min="4854" max="4854" width="16" style="155" customWidth="1"/>
    <col min="4855" max="4863" width="16" style="155" bestFit="1" customWidth="1"/>
    <col min="4864" max="4864" width="17.140625" style="155" bestFit="1" customWidth="1"/>
    <col min="4865" max="4865" width="16" style="155" bestFit="1" customWidth="1"/>
    <col min="4866" max="4866" width="10.7109375" style="155"/>
    <col min="4867" max="4867" width="13.42578125" style="155" bestFit="1" customWidth="1"/>
    <col min="4868" max="5095" width="10.7109375" style="155"/>
    <col min="5096" max="5096" width="4.42578125" style="155" bestFit="1" customWidth="1"/>
    <col min="5097" max="5097" width="25.7109375" style="155" customWidth="1"/>
    <col min="5098" max="5098" width="18.28515625" style="155" bestFit="1" customWidth="1"/>
    <col min="5099" max="5099" width="17" style="155" customWidth="1"/>
    <col min="5100" max="5100" width="21.5703125" style="155" bestFit="1" customWidth="1"/>
    <col min="5101" max="5101" width="18.42578125" style="155" bestFit="1" customWidth="1"/>
    <col min="5102" max="5102" width="26" style="155" customWidth="1"/>
    <col min="5103" max="5103" width="18.28515625" style="155" customWidth="1"/>
    <col min="5104" max="5104" width="19.140625" style="155" customWidth="1"/>
    <col min="5105" max="5105" width="26" style="155" customWidth="1"/>
    <col min="5106" max="5106" width="20.28515625" style="155" customWidth="1"/>
    <col min="5107" max="5107" width="18.28515625" style="155" customWidth="1"/>
    <col min="5108" max="5108" width="15.28515625" style="155" bestFit="1" customWidth="1"/>
    <col min="5109" max="5109" width="16" style="155" bestFit="1" customWidth="1"/>
    <col min="5110" max="5110" width="16" style="155" customWidth="1"/>
    <col min="5111" max="5119" width="16" style="155" bestFit="1" customWidth="1"/>
    <col min="5120" max="5120" width="17.140625" style="155" bestFit="1" customWidth="1"/>
    <col min="5121" max="5121" width="16" style="155" bestFit="1" customWidth="1"/>
    <col min="5122" max="5122" width="10.7109375" style="155"/>
    <col min="5123" max="5123" width="13.42578125" style="155" bestFit="1" customWidth="1"/>
    <col min="5124" max="5351" width="10.7109375" style="155"/>
    <col min="5352" max="5352" width="4.42578125" style="155" bestFit="1" customWidth="1"/>
    <col min="5353" max="5353" width="25.7109375" style="155" customWidth="1"/>
    <col min="5354" max="5354" width="18.28515625" style="155" bestFit="1" customWidth="1"/>
    <col min="5355" max="5355" width="17" style="155" customWidth="1"/>
    <col min="5356" max="5356" width="21.5703125" style="155" bestFit="1" customWidth="1"/>
    <col min="5357" max="5357" width="18.42578125" style="155" bestFit="1" customWidth="1"/>
    <col min="5358" max="5358" width="26" style="155" customWidth="1"/>
    <col min="5359" max="5359" width="18.28515625" style="155" customWidth="1"/>
    <col min="5360" max="5360" width="19.140625" style="155" customWidth="1"/>
    <col min="5361" max="5361" width="26" style="155" customWidth="1"/>
    <col min="5362" max="5362" width="20.28515625" style="155" customWidth="1"/>
    <col min="5363" max="5363" width="18.28515625" style="155" customWidth="1"/>
    <col min="5364" max="5364" width="15.28515625" style="155" bestFit="1" customWidth="1"/>
    <col min="5365" max="5365" width="16" style="155" bestFit="1" customWidth="1"/>
    <col min="5366" max="5366" width="16" style="155" customWidth="1"/>
    <col min="5367" max="5375" width="16" style="155" bestFit="1" customWidth="1"/>
    <col min="5376" max="5376" width="17.140625" style="155" bestFit="1" customWidth="1"/>
    <col min="5377" max="5377" width="16" style="155" bestFit="1" customWidth="1"/>
    <col min="5378" max="5378" width="10.7109375" style="155"/>
    <col min="5379" max="5379" width="13.42578125" style="155" bestFit="1" customWidth="1"/>
    <col min="5380" max="5607" width="10.7109375" style="155"/>
    <col min="5608" max="5608" width="4.42578125" style="155" bestFit="1" customWidth="1"/>
    <col min="5609" max="5609" width="25.7109375" style="155" customWidth="1"/>
    <col min="5610" max="5610" width="18.28515625" style="155" bestFit="1" customWidth="1"/>
    <col min="5611" max="5611" width="17" style="155" customWidth="1"/>
    <col min="5612" max="5612" width="21.5703125" style="155" bestFit="1" customWidth="1"/>
    <col min="5613" max="5613" width="18.42578125" style="155" bestFit="1" customWidth="1"/>
    <col min="5614" max="5614" width="26" style="155" customWidth="1"/>
    <col min="5615" max="5615" width="18.28515625" style="155" customWidth="1"/>
    <col min="5616" max="5616" width="19.140625" style="155" customWidth="1"/>
    <col min="5617" max="5617" width="26" style="155" customWidth="1"/>
    <col min="5618" max="5618" width="20.28515625" style="155" customWidth="1"/>
    <col min="5619" max="5619" width="18.28515625" style="155" customWidth="1"/>
    <col min="5620" max="5620" width="15.28515625" style="155" bestFit="1" customWidth="1"/>
    <col min="5621" max="5621" width="16" style="155" bestFit="1" customWidth="1"/>
    <col min="5622" max="5622" width="16" style="155" customWidth="1"/>
    <col min="5623" max="5631" width="16" style="155" bestFit="1" customWidth="1"/>
    <col min="5632" max="5632" width="17.140625" style="155" bestFit="1" customWidth="1"/>
    <col min="5633" max="5633" width="16" style="155" bestFit="1" customWidth="1"/>
    <col min="5634" max="5634" width="10.7109375" style="155"/>
    <col min="5635" max="5635" width="13.42578125" style="155" bestFit="1" customWidth="1"/>
    <col min="5636" max="5863" width="10.7109375" style="155"/>
    <col min="5864" max="5864" width="4.42578125" style="155" bestFit="1" customWidth="1"/>
    <col min="5865" max="5865" width="25.7109375" style="155" customWidth="1"/>
    <col min="5866" max="5866" width="18.28515625" style="155" bestFit="1" customWidth="1"/>
    <col min="5867" max="5867" width="17" style="155" customWidth="1"/>
    <col min="5868" max="5868" width="21.5703125" style="155" bestFit="1" customWidth="1"/>
    <col min="5869" max="5869" width="18.42578125" style="155" bestFit="1" customWidth="1"/>
    <col min="5870" max="5870" width="26" style="155" customWidth="1"/>
    <col min="5871" max="5871" width="18.28515625" style="155" customWidth="1"/>
    <col min="5872" max="5872" width="19.140625" style="155" customWidth="1"/>
    <col min="5873" max="5873" width="26" style="155" customWidth="1"/>
    <col min="5874" max="5874" width="20.28515625" style="155" customWidth="1"/>
    <col min="5875" max="5875" width="18.28515625" style="155" customWidth="1"/>
    <col min="5876" max="5876" width="15.28515625" style="155" bestFit="1" customWidth="1"/>
    <col min="5877" max="5877" width="16" style="155" bestFit="1" customWidth="1"/>
    <col min="5878" max="5878" width="16" style="155" customWidth="1"/>
    <col min="5879" max="5887" width="16" style="155" bestFit="1" customWidth="1"/>
    <col min="5888" max="5888" width="17.140625" style="155" bestFit="1" customWidth="1"/>
    <col min="5889" max="5889" width="16" style="155" bestFit="1" customWidth="1"/>
    <col min="5890" max="5890" width="10.7109375" style="155"/>
    <col min="5891" max="5891" width="13.42578125" style="155" bestFit="1" customWidth="1"/>
    <col min="5892" max="6119" width="10.7109375" style="155"/>
    <col min="6120" max="6120" width="4.42578125" style="155" bestFit="1" customWidth="1"/>
    <col min="6121" max="6121" width="25.7109375" style="155" customWidth="1"/>
    <col min="6122" max="6122" width="18.28515625" style="155" bestFit="1" customWidth="1"/>
    <col min="6123" max="6123" width="17" style="155" customWidth="1"/>
    <col min="6124" max="6124" width="21.5703125" style="155" bestFit="1" customWidth="1"/>
    <col min="6125" max="6125" width="18.42578125" style="155" bestFit="1" customWidth="1"/>
    <col min="6126" max="6126" width="26" style="155" customWidth="1"/>
    <col min="6127" max="6127" width="18.28515625" style="155" customWidth="1"/>
    <col min="6128" max="6128" width="19.140625" style="155" customWidth="1"/>
    <col min="6129" max="6129" width="26" style="155" customWidth="1"/>
    <col min="6130" max="6130" width="20.28515625" style="155" customWidth="1"/>
    <col min="6131" max="6131" width="18.28515625" style="155" customWidth="1"/>
    <col min="6132" max="6132" width="15.28515625" style="155" bestFit="1" customWidth="1"/>
    <col min="6133" max="6133" width="16" style="155" bestFit="1" customWidth="1"/>
    <col min="6134" max="6134" width="16" style="155" customWidth="1"/>
    <col min="6135" max="6143" width="16" style="155" bestFit="1" customWidth="1"/>
    <col min="6144" max="6144" width="17.140625" style="155" bestFit="1" customWidth="1"/>
    <col min="6145" max="6145" width="16" style="155" bestFit="1" customWidth="1"/>
    <col min="6146" max="6146" width="10.7109375" style="155"/>
    <col min="6147" max="6147" width="13.42578125" style="155" bestFit="1" customWidth="1"/>
    <col min="6148" max="6375" width="10.7109375" style="155"/>
    <col min="6376" max="6376" width="4.42578125" style="155" bestFit="1" customWidth="1"/>
    <col min="6377" max="6377" width="25.7109375" style="155" customWidth="1"/>
    <col min="6378" max="6378" width="18.28515625" style="155" bestFit="1" customWidth="1"/>
    <col min="6379" max="6379" width="17" style="155" customWidth="1"/>
    <col min="6380" max="6380" width="21.5703125" style="155" bestFit="1" customWidth="1"/>
    <col min="6381" max="6381" width="18.42578125" style="155" bestFit="1" customWidth="1"/>
    <col min="6382" max="6382" width="26" style="155" customWidth="1"/>
    <col min="6383" max="6383" width="18.28515625" style="155" customWidth="1"/>
    <col min="6384" max="6384" width="19.140625" style="155" customWidth="1"/>
    <col min="6385" max="6385" width="26" style="155" customWidth="1"/>
    <col min="6386" max="6386" width="20.28515625" style="155" customWidth="1"/>
    <col min="6387" max="6387" width="18.28515625" style="155" customWidth="1"/>
    <col min="6388" max="6388" width="15.28515625" style="155" bestFit="1" customWidth="1"/>
    <col min="6389" max="6389" width="16" style="155" bestFit="1" customWidth="1"/>
    <col min="6390" max="6390" width="16" style="155" customWidth="1"/>
    <col min="6391" max="6399" width="16" style="155" bestFit="1" customWidth="1"/>
    <col min="6400" max="6400" width="17.140625" style="155" bestFit="1" customWidth="1"/>
    <col min="6401" max="6401" width="16" style="155" bestFit="1" customWidth="1"/>
    <col min="6402" max="6402" width="10.7109375" style="155"/>
    <col min="6403" max="6403" width="13.42578125" style="155" bestFit="1" customWidth="1"/>
    <col min="6404" max="6631" width="10.7109375" style="155"/>
    <col min="6632" max="6632" width="4.42578125" style="155" bestFit="1" customWidth="1"/>
    <col min="6633" max="6633" width="25.7109375" style="155" customWidth="1"/>
    <col min="6634" max="6634" width="18.28515625" style="155" bestFit="1" customWidth="1"/>
    <col min="6635" max="6635" width="17" style="155" customWidth="1"/>
    <col min="6636" max="6636" width="21.5703125" style="155" bestFit="1" customWidth="1"/>
    <col min="6637" max="6637" width="18.42578125" style="155" bestFit="1" customWidth="1"/>
    <col min="6638" max="6638" width="26" style="155" customWidth="1"/>
    <col min="6639" max="6639" width="18.28515625" style="155" customWidth="1"/>
    <col min="6640" max="6640" width="19.140625" style="155" customWidth="1"/>
    <col min="6641" max="6641" width="26" style="155" customWidth="1"/>
    <col min="6642" max="6642" width="20.28515625" style="155" customWidth="1"/>
    <col min="6643" max="6643" width="18.28515625" style="155" customWidth="1"/>
    <col min="6644" max="6644" width="15.28515625" style="155" bestFit="1" customWidth="1"/>
    <col min="6645" max="6645" width="16" style="155" bestFit="1" customWidth="1"/>
    <col min="6646" max="6646" width="16" style="155" customWidth="1"/>
    <col min="6647" max="6655" width="16" style="155" bestFit="1" customWidth="1"/>
    <col min="6656" max="6656" width="17.140625" style="155" bestFit="1" customWidth="1"/>
    <col min="6657" max="6657" width="16" style="155" bestFit="1" customWidth="1"/>
    <col min="6658" max="6658" width="10.7109375" style="155"/>
    <col min="6659" max="6659" width="13.42578125" style="155" bestFit="1" customWidth="1"/>
    <col min="6660" max="6887" width="10.7109375" style="155"/>
    <col min="6888" max="6888" width="4.42578125" style="155" bestFit="1" customWidth="1"/>
    <col min="6889" max="6889" width="25.7109375" style="155" customWidth="1"/>
    <col min="6890" max="6890" width="18.28515625" style="155" bestFit="1" customWidth="1"/>
    <col min="6891" max="6891" width="17" style="155" customWidth="1"/>
    <col min="6892" max="6892" width="21.5703125" style="155" bestFit="1" customWidth="1"/>
    <col min="6893" max="6893" width="18.42578125" style="155" bestFit="1" customWidth="1"/>
    <col min="6894" max="6894" width="26" style="155" customWidth="1"/>
    <col min="6895" max="6895" width="18.28515625" style="155" customWidth="1"/>
    <col min="6896" max="6896" width="19.140625" style="155" customWidth="1"/>
    <col min="6897" max="6897" width="26" style="155" customWidth="1"/>
    <col min="6898" max="6898" width="20.28515625" style="155" customWidth="1"/>
    <col min="6899" max="6899" width="18.28515625" style="155" customWidth="1"/>
    <col min="6900" max="6900" width="15.28515625" style="155" bestFit="1" customWidth="1"/>
    <col min="6901" max="6901" width="16" style="155" bestFit="1" customWidth="1"/>
    <col min="6902" max="6902" width="16" style="155" customWidth="1"/>
    <col min="6903" max="6911" width="16" style="155" bestFit="1" customWidth="1"/>
    <col min="6912" max="6912" width="17.140625" style="155" bestFit="1" customWidth="1"/>
    <col min="6913" max="6913" width="16" style="155" bestFit="1" customWidth="1"/>
    <col min="6914" max="6914" width="10.7109375" style="155"/>
    <col min="6915" max="6915" width="13.42578125" style="155" bestFit="1" customWidth="1"/>
    <col min="6916" max="7143" width="10.7109375" style="155"/>
    <col min="7144" max="7144" width="4.42578125" style="155" bestFit="1" customWidth="1"/>
    <col min="7145" max="7145" width="25.7109375" style="155" customWidth="1"/>
    <col min="7146" max="7146" width="18.28515625" style="155" bestFit="1" customWidth="1"/>
    <col min="7147" max="7147" width="17" style="155" customWidth="1"/>
    <col min="7148" max="7148" width="21.5703125" style="155" bestFit="1" customWidth="1"/>
    <col min="7149" max="7149" width="18.42578125" style="155" bestFit="1" customWidth="1"/>
    <col min="7150" max="7150" width="26" style="155" customWidth="1"/>
    <col min="7151" max="7151" width="18.28515625" style="155" customWidth="1"/>
    <col min="7152" max="7152" width="19.140625" style="155" customWidth="1"/>
    <col min="7153" max="7153" width="26" style="155" customWidth="1"/>
    <col min="7154" max="7154" width="20.28515625" style="155" customWidth="1"/>
    <col min="7155" max="7155" width="18.28515625" style="155" customWidth="1"/>
    <col min="7156" max="7156" width="15.28515625" style="155" bestFit="1" customWidth="1"/>
    <col min="7157" max="7157" width="16" style="155" bestFit="1" customWidth="1"/>
    <col min="7158" max="7158" width="16" style="155" customWidth="1"/>
    <col min="7159" max="7167" width="16" style="155" bestFit="1" customWidth="1"/>
    <col min="7168" max="7168" width="17.140625" style="155" bestFit="1" customWidth="1"/>
    <col min="7169" max="7169" width="16" style="155" bestFit="1" customWidth="1"/>
    <col min="7170" max="7170" width="10.7109375" style="155"/>
    <col min="7171" max="7171" width="13.42578125" style="155" bestFit="1" customWidth="1"/>
    <col min="7172" max="7399" width="10.7109375" style="155"/>
    <col min="7400" max="7400" width="4.42578125" style="155" bestFit="1" customWidth="1"/>
    <col min="7401" max="7401" width="25.7109375" style="155" customWidth="1"/>
    <col min="7402" max="7402" width="18.28515625" style="155" bestFit="1" customWidth="1"/>
    <col min="7403" max="7403" width="17" style="155" customWidth="1"/>
    <col min="7404" max="7404" width="21.5703125" style="155" bestFit="1" customWidth="1"/>
    <col min="7405" max="7405" width="18.42578125" style="155" bestFit="1" customWidth="1"/>
    <col min="7406" max="7406" width="26" style="155" customWidth="1"/>
    <col min="7407" max="7407" width="18.28515625" style="155" customWidth="1"/>
    <col min="7408" max="7408" width="19.140625" style="155" customWidth="1"/>
    <col min="7409" max="7409" width="26" style="155" customWidth="1"/>
    <col min="7410" max="7410" width="20.28515625" style="155" customWidth="1"/>
    <col min="7411" max="7411" width="18.28515625" style="155" customWidth="1"/>
    <col min="7412" max="7412" width="15.28515625" style="155" bestFit="1" customWidth="1"/>
    <col min="7413" max="7413" width="16" style="155" bestFit="1" customWidth="1"/>
    <col min="7414" max="7414" width="16" style="155" customWidth="1"/>
    <col min="7415" max="7423" width="16" style="155" bestFit="1" customWidth="1"/>
    <col min="7424" max="7424" width="17.140625" style="155" bestFit="1" customWidth="1"/>
    <col min="7425" max="7425" width="16" style="155" bestFit="1" customWidth="1"/>
    <col min="7426" max="7426" width="10.7109375" style="155"/>
    <col min="7427" max="7427" width="13.42578125" style="155" bestFit="1" customWidth="1"/>
    <col min="7428" max="7655" width="10.7109375" style="155"/>
    <col min="7656" max="7656" width="4.42578125" style="155" bestFit="1" customWidth="1"/>
    <col min="7657" max="7657" width="25.7109375" style="155" customWidth="1"/>
    <col min="7658" max="7658" width="18.28515625" style="155" bestFit="1" customWidth="1"/>
    <col min="7659" max="7659" width="17" style="155" customWidth="1"/>
    <col min="7660" max="7660" width="21.5703125" style="155" bestFit="1" customWidth="1"/>
    <col min="7661" max="7661" width="18.42578125" style="155" bestFit="1" customWidth="1"/>
    <col min="7662" max="7662" width="26" style="155" customWidth="1"/>
    <col min="7663" max="7663" width="18.28515625" style="155" customWidth="1"/>
    <col min="7664" max="7664" width="19.140625" style="155" customWidth="1"/>
    <col min="7665" max="7665" width="26" style="155" customWidth="1"/>
    <col min="7666" max="7666" width="20.28515625" style="155" customWidth="1"/>
    <col min="7667" max="7667" width="18.28515625" style="155" customWidth="1"/>
    <col min="7668" max="7668" width="15.28515625" style="155" bestFit="1" customWidth="1"/>
    <col min="7669" max="7669" width="16" style="155" bestFit="1" customWidth="1"/>
    <col min="7670" max="7670" width="16" style="155" customWidth="1"/>
    <col min="7671" max="7679" width="16" style="155" bestFit="1" customWidth="1"/>
    <col min="7680" max="7680" width="17.140625" style="155" bestFit="1" customWidth="1"/>
    <col min="7681" max="7681" width="16" style="155" bestFit="1" customWidth="1"/>
    <col min="7682" max="7682" width="10.7109375" style="155"/>
    <col min="7683" max="7683" width="13.42578125" style="155" bestFit="1" customWidth="1"/>
    <col min="7684" max="7911" width="10.7109375" style="155"/>
    <col min="7912" max="7912" width="4.42578125" style="155" bestFit="1" customWidth="1"/>
    <col min="7913" max="7913" width="25.7109375" style="155" customWidth="1"/>
    <col min="7914" max="7914" width="18.28515625" style="155" bestFit="1" customWidth="1"/>
    <col min="7915" max="7915" width="17" style="155" customWidth="1"/>
    <col min="7916" max="7916" width="21.5703125" style="155" bestFit="1" customWidth="1"/>
    <col min="7917" max="7917" width="18.42578125" style="155" bestFit="1" customWidth="1"/>
    <col min="7918" max="7918" width="26" style="155" customWidth="1"/>
    <col min="7919" max="7919" width="18.28515625" style="155" customWidth="1"/>
    <col min="7920" max="7920" width="19.140625" style="155" customWidth="1"/>
    <col min="7921" max="7921" width="26" style="155" customWidth="1"/>
    <col min="7922" max="7922" width="20.28515625" style="155" customWidth="1"/>
    <col min="7923" max="7923" width="18.28515625" style="155" customWidth="1"/>
    <col min="7924" max="7924" width="15.28515625" style="155" bestFit="1" customWidth="1"/>
    <col min="7925" max="7925" width="16" style="155" bestFit="1" customWidth="1"/>
    <col min="7926" max="7926" width="16" style="155" customWidth="1"/>
    <col min="7927" max="7935" width="16" style="155" bestFit="1" customWidth="1"/>
    <col min="7936" max="7936" width="17.140625" style="155" bestFit="1" customWidth="1"/>
    <col min="7937" max="7937" width="16" style="155" bestFit="1" customWidth="1"/>
    <col min="7938" max="7938" width="10.7109375" style="155"/>
    <col min="7939" max="7939" width="13.42578125" style="155" bestFit="1" customWidth="1"/>
    <col min="7940" max="8167" width="10.7109375" style="155"/>
    <col min="8168" max="8168" width="4.42578125" style="155" bestFit="1" customWidth="1"/>
    <col min="8169" max="8169" width="25.7109375" style="155" customWidth="1"/>
    <col min="8170" max="8170" width="18.28515625" style="155" bestFit="1" customWidth="1"/>
    <col min="8171" max="8171" width="17" style="155" customWidth="1"/>
    <col min="8172" max="8172" width="21.5703125" style="155" bestFit="1" customWidth="1"/>
    <col min="8173" max="8173" width="18.42578125" style="155" bestFit="1" customWidth="1"/>
    <col min="8174" max="8174" width="26" style="155" customWidth="1"/>
    <col min="8175" max="8175" width="18.28515625" style="155" customWidth="1"/>
    <col min="8176" max="8176" width="19.140625" style="155" customWidth="1"/>
    <col min="8177" max="8177" width="26" style="155" customWidth="1"/>
    <col min="8178" max="8178" width="20.28515625" style="155" customWidth="1"/>
    <col min="8179" max="8179" width="18.28515625" style="155" customWidth="1"/>
    <col min="8180" max="8180" width="15.28515625" style="155" bestFit="1" customWidth="1"/>
    <col min="8181" max="8181" width="16" style="155" bestFit="1" customWidth="1"/>
    <col min="8182" max="8182" width="16" style="155" customWidth="1"/>
    <col min="8183" max="8191" width="16" style="155" bestFit="1" customWidth="1"/>
    <col min="8192" max="8192" width="17.140625" style="155" bestFit="1" customWidth="1"/>
    <col min="8193" max="8193" width="16" style="155" bestFit="1" customWidth="1"/>
    <col min="8194" max="8194" width="10.7109375" style="155"/>
    <col min="8195" max="8195" width="13.42578125" style="155" bestFit="1" customWidth="1"/>
    <col min="8196" max="8423" width="10.7109375" style="155"/>
    <col min="8424" max="8424" width="4.42578125" style="155" bestFit="1" customWidth="1"/>
    <col min="8425" max="8425" width="25.7109375" style="155" customWidth="1"/>
    <col min="8426" max="8426" width="18.28515625" style="155" bestFit="1" customWidth="1"/>
    <col min="8427" max="8427" width="17" style="155" customWidth="1"/>
    <col min="8428" max="8428" width="21.5703125" style="155" bestFit="1" customWidth="1"/>
    <col min="8429" max="8429" width="18.42578125" style="155" bestFit="1" customWidth="1"/>
    <col min="8430" max="8430" width="26" style="155" customWidth="1"/>
    <col min="8431" max="8431" width="18.28515625" style="155" customWidth="1"/>
    <col min="8432" max="8432" width="19.140625" style="155" customWidth="1"/>
    <col min="8433" max="8433" width="26" style="155" customWidth="1"/>
    <col min="8434" max="8434" width="20.28515625" style="155" customWidth="1"/>
    <col min="8435" max="8435" width="18.28515625" style="155" customWidth="1"/>
    <col min="8436" max="8436" width="15.28515625" style="155" bestFit="1" customWidth="1"/>
    <col min="8437" max="8437" width="16" style="155" bestFit="1" customWidth="1"/>
    <col min="8438" max="8438" width="16" style="155" customWidth="1"/>
    <col min="8439" max="8447" width="16" style="155" bestFit="1" customWidth="1"/>
    <col min="8448" max="8448" width="17.140625" style="155" bestFit="1" customWidth="1"/>
    <col min="8449" max="8449" width="16" style="155" bestFit="1" customWidth="1"/>
    <col min="8450" max="8450" width="10.7109375" style="155"/>
    <col min="8451" max="8451" width="13.42578125" style="155" bestFit="1" customWidth="1"/>
    <col min="8452" max="8679" width="10.7109375" style="155"/>
    <col min="8680" max="8680" width="4.42578125" style="155" bestFit="1" customWidth="1"/>
    <col min="8681" max="8681" width="25.7109375" style="155" customWidth="1"/>
    <col min="8682" max="8682" width="18.28515625" style="155" bestFit="1" customWidth="1"/>
    <col min="8683" max="8683" width="17" style="155" customWidth="1"/>
    <col min="8684" max="8684" width="21.5703125" style="155" bestFit="1" customWidth="1"/>
    <col min="8685" max="8685" width="18.42578125" style="155" bestFit="1" customWidth="1"/>
    <col min="8686" max="8686" width="26" style="155" customWidth="1"/>
    <col min="8687" max="8687" width="18.28515625" style="155" customWidth="1"/>
    <col min="8688" max="8688" width="19.140625" style="155" customWidth="1"/>
    <col min="8689" max="8689" width="26" style="155" customWidth="1"/>
    <col min="8690" max="8690" width="20.28515625" style="155" customWidth="1"/>
    <col min="8691" max="8691" width="18.28515625" style="155" customWidth="1"/>
    <col min="8692" max="8692" width="15.28515625" style="155" bestFit="1" customWidth="1"/>
    <col min="8693" max="8693" width="16" style="155" bestFit="1" customWidth="1"/>
    <col min="8694" max="8694" width="16" style="155" customWidth="1"/>
    <col min="8695" max="8703" width="16" style="155" bestFit="1" customWidth="1"/>
    <col min="8704" max="8704" width="17.140625" style="155" bestFit="1" customWidth="1"/>
    <col min="8705" max="8705" width="16" style="155" bestFit="1" customWidth="1"/>
    <col min="8706" max="8706" width="10.7109375" style="155"/>
    <col min="8707" max="8707" width="13.42578125" style="155" bestFit="1" customWidth="1"/>
    <col min="8708" max="8935" width="10.7109375" style="155"/>
    <col min="8936" max="8936" width="4.42578125" style="155" bestFit="1" customWidth="1"/>
    <col min="8937" max="8937" width="25.7109375" style="155" customWidth="1"/>
    <col min="8938" max="8938" width="18.28515625" style="155" bestFit="1" customWidth="1"/>
    <col min="8939" max="8939" width="17" style="155" customWidth="1"/>
    <col min="8940" max="8940" width="21.5703125" style="155" bestFit="1" customWidth="1"/>
    <col min="8941" max="8941" width="18.42578125" style="155" bestFit="1" customWidth="1"/>
    <col min="8942" max="8942" width="26" style="155" customWidth="1"/>
    <col min="8943" max="8943" width="18.28515625" style="155" customWidth="1"/>
    <col min="8944" max="8944" width="19.140625" style="155" customWidth="1"/>
    <col min="8945" max="8945" width="26" style="155" customWidth="1"/>
    <col min="8946" max="8946" width="20.28515625" style="155" customWidth="1"/>
    <col min="8947" max="8947" width="18.28515625" style="155" customWidth="1"/>
    <col min="8948" max="8948" width="15.28515625" style="155" bestFit="1" customWidth="1"/>
    <col min="8949" max="8949" width="16" style="155" bestFit="1" customWidth="1"/>
    <col min="8950" max="8950" width="16" style="155" customWidth="1"/>
    <col min="8951" max="8959" width="16" style="155" bestFit="1" customWidth="1"/>
    <col min="8960" max="8960" width="17.140625" style="155" bestFit="1" customWidth="1"/>
    <col min="8961" max="8961" width="16" style="155" bestFit="1" customWidth="1"/>
    <col min="8962" max="8962" width="10.7109375" style="155"/>
    <col min="8963" max="8963" width="13.42578125" style="155" bestFit="1" customWidth="1"/>
    <col min="8964" max="9191" width="10.7109375" style="155"/>
    <col min="9192" max="9192" width="4.42578125" style="155" bestFit="1" customWidth="1"/>
    <col min="9193" max="9193" width="25.7109375" style="155" customWidth="1"/>
    <col min="9194" max="9194" width="18.28515625" style="155" bestFit="1" customWidth="1"/>
    <col min="9195" max="9195" width="17" style="155" customWidth="1"/>
    <col min="9196" max="9196" width="21.5703125" style="155" bestFit="1" customWidth="1"/>
    <col min="9197" max="9197" width="18.42578125" style="155" bestFit="1" customWidth="1"/>
    <col min="9198" max="9198" width="26" style="155" customWidth="1"/>
    <col min="9199" max="9199" width="18.28515625" style="155" customWidth="1"/>
    <col min="9200" max="9200" width="19.140625" style="155" customWidth="1"/>
    <col min="9201" max="9201" width="26" style="155" customWidth="1"/>
    <col min="9202" max="9202" width="20.28515625" style="155" customWidth="1"/>
    <col min="9203" max="9203" width="18.28515625" style="155" customWidth="1"/>
    <col min="9204" max="9204" width="15.28515625" style="155" bestFit="1" customWidth="1"/>
    <col min="9205" max="9205" width="16" style="155" bestFit="1" customWidth="1"/>
    <col min="9206" max="9206" width="16" style="155" customWidth="1"/>
    <col min="9207" max="9215" width="16" style="155" bestFit="1" customWidth="1"/>
    <col min="9216" max="9216" width="17.140625" style="155" bestFit="1" customWidth="1"/>
    <col min="9217" max="9217" width="16" style="155" bestFit="1" customWidth="1"/>
    <col min="9218" max="9218" width="10.7109375" style="155"/>
    <col min="9219" max="9219" width="13.42578125" style="155" bestFit="1" customWidth="1"/>
    <col min="9220" max="9447" width="10.7109375" style="155"/>
    <col min="9448" max="9448" width="4.42578125" style="155" bestFit="1" customWidth="1"/>
    <col min="9449" max="9449" width="25.7109375" style="155" customWidth="1"/>
    <col min="9450" max="9450" width="18.28515625" style="155" bestFit="1" customWidth="1"/>
    <col min="9451" max="9451" width="17" style="155" customWidth="1"/>
    <col min="9452" max="9452" width="21.5703125" style="155" bestFit="1" customWidth="1"/>
    <col min="9453" max="9453" width="18.42578125" style="155" bestFit="1" customWidth="1"/>
    <col min="9454" max="9454" width="26" style="155" customWidth="1"/>
    <col min="9455" max="9455" width="18.28515625" style="155" customWidth="1"/>
    <col min="9456" max="9456" width="19.140625" style="155" customWidth="1"/>
    <col min="9457" max="9457" width="26" style="155" customWidth="1"/>
    <col min="9458" max="9458" width="20.28515625" style="155" customWidth="1"/>
    <col min="9459" max="9459" width="18.28515625" style="155" customWidth="1"/>
    <col min="9460" max="9460" width="15.28515625" style="155" bestFit="1" customWidth="1"/>
    <col min="9461" max="9461" width="16" style="155" bestFit="1" customWidth="1"/>
    <col min="9462" max="9462" width="16" style="155" customWidth="1"/>
    <col min="9463" max="9471" width="16" style="155" bestFit="1" customWidth="1"/>
    <col min="9472" max="9472" width="17.140625" style="155" bestFit="1" customWidth="1"/>
    <col min="9473" max="9473" width="16" style="155" bestFit="1" customWidth="1"/>
    <col min="9474" max="9474" width="10.7109375" style="155"/>
    <col min="9475" max="9475" width="13.42578125" style="155" bestFit="1" customWidth="1"/>
    <col min="9476" max="9703" width="10.7109375" style="155"/>
    <col min="9704" max="9704" width="4.42578125" style="155" bestFit="1" customWidth="1"/>
    <col min="9705" max="9705" width="25.7109375" style="155" customWidth="1"/>
    <col min="9706" max="9706" width="18.28515625" style="155" bestFit="1" customWidth="1"/>
    <col min="9707" max="9707" width="17" style="155" customWidth="1"/>
    <col min="9708" max="9708" width="21.5703125" style="155" bestFit="1" customWidth="1"/>
    <col min="9709" max="9709" width="18.42578125" style="155" bestFit="1" customWidth="1"/>
    <col min="9710" max="9710" width="26" style="155" customWidth="1"/>
    <col min="9711" max="9711" width="18.28515625" style="155" customWidth="1"/>
    <col min="9712" max="9712" width="19.140625" style="155" customWidth="1"/>
    <col min="9713" max="9713" width="26" style="155" customWidth="1"/>
    <col min="9714" max="9714" width="20.28515625" style="155" customWidth="1"/>
    <col min="9715" max="9715" width="18.28515625" style="155" customWidth="1"/>
    <col min="9716" max="9716" width="15.28515625" style="155" bestFit="1" customWidth="1"/>
    <col min="9717" max="9717" width="16" style="155" bestFit="1" customWidth="1"/>
    <col min="9718" max="9718" width="16" style="155" customWidth="1"/>
    <col min="9719" max="9727" width="16" style="155" bestFit="1" customWidth="1"/>
    <col min="9728" max="9728" width="17.140625" style="155" bestFit="1" customWidth="1"/>
    <col min="9729" max="9729" width="16" style="155" bestFit="1" customWidth="1"/>
    <col min="9730" max="9730" width="10.7109375" style="155"/>
    <col min="9731" max="9731" width="13.42578125" style="155" bestFit="1" customWidth="1"/>
    <col min="9732" max="9959" width="10.7109375" style="155"/>
    <col min="9960" max="9960" width="4.42578125" style="155" bestFit="1" customWidth="1"/>
    <col min="9961" max="9961" width="25.7109375" style="155" customWidth="1"/>
    <col min="9962" max="9962" width="18.28515625" style="155" bestFit="1" customWidth="1"/>
    <col min="9963" max="9963" width="17" style="155" customWidth="1"/>
    <col min="9964" max="9964" width="21.5703125" style="155" bestFit="1" customWidth="1"/>
    <col min="9965" max="9965" width="18.42578125" style="155" bestFit="1" customWidth="1"/>
    <col min="9966" max="9966" width="26" style="155" customWidth="1"/>
    <col min="9967" max="9967" width="18.28515625" style="155" customWidth="1"/>
    <col min="9968" max="9968" width="19.140625" style="155" customWidth="1"/>
    <col min="9969" max="9969" width="26" style="155" customWidth="1"/>
    <col min="9970" max="9970" width="20.28515625" style="155" customWidth="1"/>
    <col min="9971" max="9971" width="18.28515625" style="155" customWidth="1"/>
    <col min="9972" max="9972" width="15.28515625" style="155" bestFit="1" customWidth="1"/>
    <col min="9973" max="9973" width="16" style="155" bestFit="1" customWidth="1"/>
    <col min="9974" max="9974" width="16" style="155" customWidth="1"/>
    <col min="9975" max="9983" width="16" style="155" bestFit="1" customWidth="1"/>
    <col min="9984" max="9984" width="17.140625" style="155" bestFit="1" customWidth="1"/>
    <col min="9985" max="9985" width="16" style="155" bestFit="1" customWidth="1"/>
    <col min="9986" max="9986" width="10.7109375" style="155"/>
    <col min="9987" max="9987" width="13.42578125" style="155" bestFit="1" customWidth="1"/>
    <col min="9988" max="10215" width="10.7109375" style="155"/>
    <col min="10216" max="10216" width="4.42578125" style="155" bestFit="1" customWidth="1"/>
    <col min="10217" max="10217" width="25.7109375" style="155" customWidth="1"/>
    <col min="10218" max="10218" width="18.28515625" style="155" bestFit="1" customWidth="1"/>
    <col min="10219" max="10219" width="17" style="155" customWidth="1"/>
    <col min="10220" max="10220" width="21.5703125" style="155" bestFit="1" customWidth="1"/>
    <col min="10221" max="10221" width="18.42578125" style="155" bestFit="1" customWidth="1"/>
    <col min="10222" max="10222" width="26" style="155" customWidth="1"/>
    <col min="10223" max="10223" width="18.28515625" style="155" customWidth="1"/>
    <col min="10224" max="10224" width="19.140625" style="155" customWidth="1"/>
    <col min="10225" max="10225" width="26" style="155" customWidth="1"/>
    <col min="10226" max="10226" width="20.28515625" style="155" customWidth="1"/>
    <col min="10227" max="10227" width="18.28515625" style="155" customWidth="1"/>
    <col min="10228" max="10228" width="15.28515625" style="155" bestFit="1" customWidth="1"/>
    <col min="10229" max="10229" width="16" style="155" bestFit="1" customWidth="1"/>
    <col min="10230" max="10230" width="16" style="155" customWidth="1"/>
    <col min="10231" max="10239" width="16" style="155" bestFit="1" customWidth="1"/>
    <col min="10240" max="10240" width="17.140625" style="155" bestFit="1" customWidth="1"/>
    <col min="10241" max="10241" width="16" style="155" bestFit="1" customWidth="1"/>
    <col min="10242" max="10242" width="10.7109375" style="155"/>
    <col min="10243" max="10243" width="13.42578125" style="155" bestFit="1" customWidth="1"/>
    <col min="10244" max="10471" width="10.7109375" style="155"/>
    <col min="10472" max="10472" width="4.42578125" style="155" bestFit="1" customWidth="1"/>
    <col min="10473" max="10473" width="25.7109375" style="155" customWidth="1"/>
    <col min="10474" max="10474" width="18.28515625" style="155" bestFit="1" customWidth="1"/>
    <col min="10475" max="10475" width="17" style="155" customWidth="1"/>
    <col min="10476" max="10476" width="21.5703125" style="155" bestFit="1" customWidth="1"/>
    <col min="10477" max="10477" width="18.42578125" style="155" bestFit="1" customWidth="1"/>
    <col min="10478" max="10478" width="26" style="155" customWidth="1"/>
    <col min="10479" max="10479" width="18.28515625" style="155" customWidth="1"/>
    <col min="10480" max="10480" width="19.140625" style="155" customWidth="1"/>
    <col min="10481" max="10481" width="26" style="155" customWidth="1"/>
    <col min="10482" max="10482" width="20.28515625" style="155" customWidth="1"/>
    <col min="10483" max="10483" width="18.28515625" style="155" customWidth="1"/>
    <col min="10484" max="10484" width="15.28515625" style="155" bestFit="1" customWidth="1"/>
    <col min="10485" max="10485" width="16" style="155" bestFit="1" customWidth="1"/>
    <col min="10486" max="10486" width="16" style="155" customWidth="1"/>
    <col min="10487" max="10495" width="16" style="155" bestFit="1" customWidth="1"/>
    <col min="10496" max="10496" width="17.140625" style="155" bestFit="1" customWidth="1"/>
    <col min="10497" max="10497" width="16" style="155" bestFit="1" customWidth="1"/>
    <col min="10498" max="10498" width="10.7109375" style="155"/>
    <col min="10499" max="10499" width="13.42578125" style="155" bestFit="1" customWidth="1"/>
    <col min="10500" max="10727" width="10.7109375" style="155"/>
    <col min="10728" max="10728" width="4.42578125" style="155" bestFit="1" customWidth="1"/>
    <col min="10729" max="10729" width="25.7109375" style="155" customWidth="1"/>
    <col min="10730" max="10730" width="18.28515625" style="155" bestFit="1" customWidth="1"/>
    <col min="10731" max="10731" width="17" style="155" customWidth="1"/>
    <col min="10732" max="10732" width="21.5703125" style="155" bestFit="1" customWidth="1"/>
    <col min="10733" max="10733" width="18.42578125" style="155" bestFit="1" customWidth="1"/>
    <col min="10734" max="10734" width="26" style="155" customWidth="1"/>
    <col min="10735" max="10735" width="18.28515625" style="155" customWidth="1"/>
    <col min="10736" max="10736" width="19.140625" style="155" customWidth="1"/>
    <col min="10737" max="10737" width="26" style="155" customWidth="1"/>
    <col min="10738" max="10738" width="20.28515625" style="155" customWidth="1"/>
    <col min="10739" max="10739" width="18.28515625" style="155" customWidth="1"/>
    <col min="10740" max="10740" width="15.28515625" style="155" bestFit="1" customWidth="1"/>
    <col min="10741" max="10741" width="16" style="155" bestFit="1" customWidth="1"/>
    <col min="10742" max="10742" width="16" style="155" customWidth="1"/>
    <col min="10743" max="10751" width="16" style="155" bestFit="1" customWidth="1"/>
    <col min="10752" max="10752" width="17.140625" style="155" bestFit="1" customWidth="1"/>
    <col min="10753" max="10753" width="16" style="155" bestFit="1" customWidth="1"/>
    <col min="10754" max="10754" width="10.7109375" style="155"/>
    <col min="10755" max="10755" width="13.42578125" style="155" bestFit="1" customWidth="1"/>
    <col min="10756" max="10983" width="10.7109375" style="155"/>
    <col min="10984" max="10984" width="4.42578125" style="155" bestFit="1" customWidth="1"/>
    <col min="10985" max="10985" width="25.7109375" style="155" customWidth="1"/>
    <col min="10986" max="10986" width="18.28515625" style="155" bestFit="1" customWidth="1"/>
    <col min="10987" max="10987" width="17" style="155" customWidth="1"/>
    <col min="10988" max="10988" width="21.5703125" style="155" bestFit="1" customWidth="1"/>
    <col min="10989" max="10989" width="18.42578125" style="155" bestFit="1" customWidth="1"/>
    <col min="10990" max="10990" width="26" style="155" customWidth="1"/>
    <col min="10991" max="10991" width="18.28515625" style="155" customWidth="1"/>
    <col min="10992" max="10992" width="19.140625" style="155" customWidth="1"/>
    <col min="10993" max="10993" width="26" style="155" customWidth="1"/>
    <col min="10994" max="10994" width="20.28515625" style="155" customWidth="1"/>
    <col min="10995" max="10995" width="18.28515625" style="155" customWidth="1"/>
    <col min="10996" max="10996" width="15.28515625" style="155" bestFit="1" customWidth="1"/>
    <col min="10997" max="10997" width="16" style="155" bestFit="1" customWidth="1"/>
    <col min="10998" max="10998" width="16" style="155" customWidth="1"/>
    <col min="10999" max="11007" width="16" style="155" bestFit="1" customWidth="1"/>
    <col min="11008" max="11008" width="17.140625" style="155" bestFit="1" customWidth="1"/>
    <col min="11009" max="11009" width="16" style="155" bestFit="1" customWidth="1"/>
    <col min="11010" max="11010" width="10.7109375" style="155"/>
    <col min="11011" max="11011" width="13.42578125" style="155" bestFit="1" customWidth="1"/>
    <col min="11012" max="11239" width="10.7109375" style="155"/>
    <col min="11240" max="11240" width="4.42578125" style="155" bestFit="1" customWidth="1"/>
    <col min="11241" max="11241" width="25.7109375" style="155" customWidth="1"/>
    <col min="11242" max="11242" width="18.28515625" style="155" bestFit="1" customWidth="1"/>
    <col min="11243" max="11243" width="17" style="155" customWidth="1"/>
    <col min="11244" max="11244" width="21.5703125" style="155" bestFit="1" customWidth="1"/>
    <col min="11245" max="11245" width="18.42578125" style="155" bestFit="1" customWidth="1"/>
    <col min="11246" max="11246" width="26" style="155" customWidth="1"/>
    <col min="11247" max="11247" width="18.28515625" style="155" customWidth="1"/>
    <col min="11248" max="11248" width="19.140625" style="155" customWidth="1"/>
    <col min="11249" max="11249" width="26" style="155" customWidth="1"/>
    <col min="11250" max="11250" width="20.28515625" style="155" customWidth="1"/>
    <col min="11251" max="11251" width="18.28515625" style="155" customWidth="1"/>
    <col min="11252" max="11252" width="15.28515625" style="155" bestFit="1" customWidth="1"/>
    <col min="11253" max="11253" width="16" style="155" bestFit="1" customWidth="1"/>
    <col min="11254" max="11254" width="16" style="155" customWidth="1"/>
    <col min="11255" max="11263" width="16" style="155" bestFit="1" customWidth="1"/>
    <col min="11264" max="11264" width="17.140625" style="155" bestFit="1" customWidth="1"/>
    <col min="11265" max="11265" width="16" style="155" bestFit="1" customWidth="1"/>
    <col min="11266" max="11266" width="10.7109375" style="155"/>
    <col min="11267" max="11267" width="13.42578125" style="155" bestFit="1" customWidth="1"/>
    <col min="11268" max="11495" width="10.7109375" style="155"/>
    <col min="11496" max="11496" width="4.42578125" style="155" bestFit="1" customWidth="1"/>
    <col min="11497" max="11497" width="25.7109375" style="155" customWidth="1"/>
    <col min="11498" max="11498" width="18.28515625" style="155" bestFit="1" customWidth="1"/>
    <col min="11499" max="11499" width="17" style="155" customWidth="1"/>
    <col min="11500" max="11500" width="21.5703125" style="155" bestFit="1" customWidth="1"/>
    <col min="11501" max="11501" width="18.42578125" style="155" bestFit="1" customWidth="1"/>
    <col min="11502" max="11502" width="26" style="155" customWidth="1"/>
    <col min="11503" max="11503" width="18.28515625" style="155" customWidth="1"/>
    <col min="11504" max="11504" width="19.140625" style="155" customWidth="1"/>
    <col min="11505" max="11505" width="26" style="155" customWidth="1"/>
    <col min="11506" max="11506" width="20.28515625" style="155" customWidth="1"/>
    <col min="11507" max="11507" width="18.28515625" style="155" customWidth="1"/>
    <col min="11508" max="11508" width="15.28515625" style="155" bestFit="1" customWidth="1"/>
    <col min="11509" max="11509" width="16" style="155" bestFit="1" customWidth="1"/>
    <col min="11510" max="11510" width="16" style="155" customWidth="1"/>
    <col min="11511" max="11519" width="16" style="155" bestFit="1" customWidth="1"/>
    <col min="11520" max="11520" width="17.140625" style="155" bestFit="1" customWidth="1"/>
    <col min="11521" max="11521" width="16" style="155" bestFit="1" customWidth="1"/>
    <col min="11522" max="11522" width="10.7109375" style="155"/>
    <col min="11523" max="11523" width="13.42578125" style="155" bestFit="1" customWidth="1"/>
    <col min="11524" max="11751" width="10.7109375" style="155"/>
    <col min="11752" max="11752" width="4.42578125" style="155" bestFit="1" customWidth="1"/>
    <col min="11753" max="11753" width="25.7109375" style="155" customWidth="1"/>
    <col min="11754" max="11754" width="18.28515625" style="155" bestFit="1" customWidth="1"/>
    <col min="11755" max="11755" width="17" style="155" customWidth="1"/>
    <col min="11756" max="11756" width="21.5703125" style="155" bestFit="1" customWidth="1"/>
    <col min="11757" max="11757" width="18.42578125" style="155" bestFit="1" customWidth="1"/>
    <col min="11758" max="11758" width="26" style="155" customWidth="1"/>
    <col min="11759" max="11759" width="18.28515625" style="155" customWidth="1"/>
    <col min="11760" max="11760" width="19.140625" style="155" customWidth="1"/>
    <col min="11761" max="11761" width="26" style="155" customWidth="1"/>
    <col min="11762" max="11762" width="20.28515625" style="155" customWidth="1"/>
    <col min="11763" max="11763" width="18.28515625" style="155" customWidth="1"/>
    <col min="11764" max="11764" width="15.28515625" style="155" bestFit="1" customWidth="1"/>
    <col min="11765" max="11765" width="16" style="155" bestFit="1" customWidth="1"/>
    <col min="11766" max="11766" width="16" style="155" customWidth="1"/>
    <col min="11767" max="11775" width="16" style="155" bestFit="1" customWidth="1"/>
    <col min="11776" max="11776" width="17.140625" style="155" bestFit="1" customWidth="1"/>
    <col min="11777" max="11777" width="16" style="155" bestFit="1" customWidth="1"/>
    <col min="11778" max="11778" width="10.7109375" style="155"/>
    <col min="11779" max="11779" width="13.42578125" style="155" bestFit="1" customWidth="1"/>
    <col min="11780" max="12007" width="10.7109375" style="155"/>
    <col min="12008" max="12008" width="4.42578125" style="155" bestFit="1" customWidth="1"/>
    <col min="12009" max="12009" width="25.7109375" style="155" customWidth="1"/>
    <col min="12010" max="12010" width="18.28515625" style="155" bestFit="1" customWidth="1"/>
    <col min="12011" max="12011" width="17" style="155" customWidth="1"/>
    <col min="12012" max="12012" width="21.5703125" style="155" bestFit="1" customWidth="1"/>
    <col min="12013" max="12013" width="18.42578125" style="155" bestFit="1" customWidth="1"/>
    <col min="12014" max="12014" width="26" style="155" customWidth="1"/>
    <col min="12015" max="12015" width="18.28515625" style="155" customWidth="1"/>
    <col min="12016" max="12016" width="19.140625" style="155" customWidth="1"/>
    <col min="12017" max="12017" width="26" style="155" customWidth="1"/>
    <col min="12018" max="12018" width="20.28515625" style="155" customWidth="1"/>
    <col min="12019" max="12019" width="18.28515625" style="155" customWidth="1"/>
    <col min="12020" max="12020" width="15.28515625" style="155" bestFit="1" customWidth="1"/>
    <col min="12021" max="12021" width="16" style="155" bestFit="1" customWidth="1"/>
    <col min="12022" max="12022" width="16" style="155" customWidth="1"/>
    <col min="12023" max="12031" width="16" style="155" bestFit="1" customWidth="1"/>
    <col min="12032" max="12032" width="17.140625" style="155" bestFit="1" customWidth="1"/>
    <col min="12033" max="12033" width="16" style="155" bestFit="1" customWidth="1"/>
    <col min="12034" max="12034" width="10.7109375" style="155"/>
    <col min="12035" max="12035" width="13.42578125" style="155" bestFit="1" customWidth="1"/>
    <col min="12036" max="12263" width="10.7109375" style="155"/>
    <col min="12264" max="12264" width="4.42578125" style="155" bestFit="1" customWidth="1"/>
    <col min="12265" max="12265" width="25.7109375" style="155" customWidth="1"/>
    <col min="12266" max="12266" width="18.28515625" style="155" bestFit="1" customWidth="1"/>
    <col min="12267" max="12267" width="17" style="155" customWidth="1"/>
    <col min="12268" max="12268" width="21.5703125" style="155" bestFit="1" customWidth="1"/>
    <col min="12269" max="12269" width="18.42578125" style="155" bestFit="1" customWidth="1"/>
    <col min="12270" max="12270" width="26" style="155" customWidth="1"/>
    <col min="12271" max="12271" width="18.28515625" style="155" customWidth="1"/>
    <col min="12272" max="12272" width="19.140625" style="155" customWidth="1"/>
    <col min="12273" max="12273" width="26" style="155" customWidth="1"/>
    <col min="12274" max="12274" width="20.28515625" style="155" customWidth="1"/>
    <col min="12275" max="12275" width="18.28515625" style="155" customWidth="1"/>
    <col min="12276" max="12276" width="15.28515625" style="155" bestFit="1" customWidth="1"/>
    <col min="12277" max="12277" width="16" style="155" bestFit="1" customWidth="1"/>
    <col min="12278" max="12278" width="16" style="155" customWidth="1"/>
    <col min="12279" max="12287" width="16" style="155" bestFit="1" customWidth="1"/>
    <col min="12288" max="12288" width="17.140625" style="155" bestFit="1" customWidth="1"/>
    <col min="12289" max="12289" width="16" style="155" bestFit="1" customWidth="1"/>
    <col min="12290" max="12290" width="10.7109375" style="155"/>
    <col min="12291" max="12291" width="13.42578125" style="155" bestFit="1" customWidth="1"/>
    <col min="12292" max="12519" width="10.7109375" style="155"/>
    <col min="12520" max="12520" width="4.42578125" style="155" bestFit="1" customWidth="1"/>
    <col min="12521" max="12521" width="25.7109375" style="155" customWidth="1"/>
    <col min="12522" max="12522" width="18.28515625" style="155" bestFit="1" customWidth="1"/>
    <col min="12523" max="12523" width="17" style="155" customWidth="1"/>
    <col min="12524" max="12524" width="21.5703125" style="155" bestFit="1" customWidth="1"/>
    <col min="12525" max="12525" width="18.42578125" style="155" bestFit="1" customWidth="1"/>
    <col min="12526" max="12526" width="26" style="155" customWidth="1"/>
    <col min="12527" max="12527" width="18.28515625" style="155" customWidth="1"/>
    <col min="12528" max="12528" width="19.140625" style="155" customWidth="1"/>
    <col min="12529" max="12529" width="26" style="155" customWidth="1"/>
    <col min="12530" max="12530" width="20.28515625" style="155" customWidth="1"/>
    <col min="12531" max="12531" width="18.28515625" style="155" customWidth="1"/>
    <col min="12532" max="12532" width="15.28515625" style="155" bestFit="1" customWidth="1"/>
    <col min="12533" max="12533" width="16" style="155" bestFit="1" customWidth="1"/>
    <col min="12534" max="12534" width="16" style="155" customWidth="1"/>
    <col min="12535" max="12543" width="16" style="155" bestFit="1" customWidth="1"/>
    <col min="12544" max="12544" width="17.140625" style="155" bestFit="1" customWidth="1"/>
    <col min="12545" max="12545" width="16" style="155" bestFit="1" customWidth="1"/>
    <col min="12546" max="12546" width="10.7109375" style="155"/>
    <col min="12547" max="12547" width="13.42578125" style="155" bestFit="1" customWidth="1"/>
    <col min="12548" max="12775" width="10.7109375" style="155"/>
    <col min="12776" max="12776" width="4.42578125" style="155" bestFit="1" customWidth="1"/>
    <col min="12777" max="12777" width="25.7109375" style="155" customWidth="1"/>
    <col min="12778" max="12778" width="18.28515625" style="155" bestFit="1" customWidth="1"/>
    <col min="12779" max="12779" width="17" style="155" customWidth="1"/>
    <col min="12780" max="12780" width="21.5703125" style="155" bestFit="1" customWidth="1"/>
    <col min="12781" max="12781" width="18.42578125" style="155" bestFit="1" customWidth="1"/>
    <col min="12782" max="12782" width="26" style="155" customWidth="1"/>
    <col min="12783" max="12783" width="18.28515625" style="155" customWidth="1"/>
    <col min="12784" max="12784" width="19.140625" style="155" customWidth="1"/>
    <col min="12785" max="12785" width="26" style="155" customWidth="1"/>
    <col min="12786" max="12786" width="20.28515625" style="155" customWidth="1"/>
    <col min="12787" max="12787" width="18.28515625" style="155" customWidth="1"/>
    <col min="12788" max="12788" width="15.28515625" style="155" bestFit="1" customWidth="1"/>
    <col min="12789" max="12789" width="16" style="155" bestFit="1" customWidth="1"/>
    <col min="12790" max="12790" width="16" style="155" customWidth="1"/>
    <col min="12791" max="12799" width="16" style="155" bestFit="1" customWidth="1"/>
    <col min="12800" max="12800" width="17.140625" style="155" bestFit="1" customWidth="1"/>
    <col min="12801" max="12801" width="16" style="155" bestFit="1" customWidth="1"/>
    <col min="12802" max="12802" width="10.7109375" style="155"/>
    <col min="12803" max="12803" width="13.42578125" style="155" bestFit="1" customWidth="1"/>
    <col min="12804" max="13031" width="10.7109375" style="155"/>
    <col min="13032" max="13032" width="4.42578125" style="155" bestFit="1" customWidth="1"/>
    <col min="13033" max="13033" width="25.7109375" style="155" customWidth="1"/>
    <col min="13034" max="13034" width="18.28515625" style="155" bestFit="1" customWidth="1"/>
    <col min="13035" max="13035" width="17" style="155" customWidth="1"/>
    <col min="13036" max="13036" width="21.5703125" style="155" bestFit="1" customWidth="1"/>
    <col min="13037" max="13037" width="18.42578125" style="155" bestFit="1" customWidth="1"/>
    <col min="13038" max="13038" width="26" style="155" customWidth="1"/>
    <col min="13039" max="13039" width="18.28515625" style="155" customWidth="1"/>
    <col min="13040" max="13040" width="19.140625" style="155" customWidth="1"/>
    <col min="13041" max="13041" width="26" style="155" customWidth="1"/>
    <col min="13042" max="13042" width="20.28515625" style="155" customWidth="1"/>
    <col min="13043" max="13043" width="18.28515625" style="155" customWidth="1"/>
    <col min="13044" max="13044" width="15.28515625" style="155" bestFit="1" customWidth="1"/>
    <col min="13045" max="13045" width="16" style="155" bestFit="1" customWidth="1"/>
    <col min="13046" max="13046" width="16" style="155" customWidth="1"/>
    <col min="13047" max="13055" width="16" style="155" bestFit="1" customWidth="1"/>
    <col min="13056" max="13056" width="17.140625" style="155" bestFit="1" customWidth="1"/>
    <col min="13057" max="13057" width="16" style="155" bestFit="1" customWidth="1"/>
    <col min="13058" max="13058" width="10.7109375" style="155"/>
    <col min="13059" max="13059" width="13.42578125" style="155" bestFit="1" customWidth="1"/>
    <col min="13060" max="13287" width="10.7109375" style="155"/>
    <col min="13288" max="13288" width="4.42578125" style="155" bestFit="1" customWidth="1"/>
    <col min="13289" max="13289" width="25.7109375" style="155" customWidth="1"/>
    <col min="13290" max="13290" width="18.28515625" style="155" bestFit="1" customWidth="1"/>
    <col min="13291" max="13291" width="17" style="155" customWidth="1"/>
    <col min="13292" max="13292" width="21.5703125" style="155" bestFit="1" customWidth="1"/>
    <col min="13293" max="13293" width="18.42578125" style="155" bestFit="1" customWidth="1"/>
    <col min="13294" max="13294" width="26" style="155" customWidth="1"/>
    <col min="13295" max="13295" width="18.28515625" style="155" customWidth="1"/>
    <col min="13296" max="13296" width="19.140625" style="155" customWidth="1"/>
    <col min="13297" max="13297" width="26" style="155" customWidth="1"/>
    <col min="13298" max="13298" width="20.28515625" style="155" customWidth="1"/>
    <col min="13299" max="13299" width="18.28515625" style="155" customWidth="1"/>
    <col min="13300" max="13300" width="15.28515625" style="155" bestFit="1" customWidth="1"/>
    <col min="13301" max="13301" width="16" style="155" bestFit="1" customWidth="1"/>
    <col min="13302" max="13302" width="16" style="155" customWidth="1"/>
    <col min="13303" max="13311" width="16" style="155" bestFit="1" customWidth="1"/>
    <col min="13312" max="13312" width="17.140625" style="155" bestFit="1" customWidth="1"/>
    <col min="13313" max="13313" width="16" style="155" bestFit="1" customWidth="1"/>
    <col min="13314" max="13314" width="10.7109375" style="155"/>
    <col min="13315" max="13315" width="13.42578125" style="155" bestFit="1" customWidth="1"/>
    <col min="13316" max="13543" width="10.7109375" style="155"/>
    <col min="13544" max="13544" width="4.42578125" style="155" bestFit="1" customWidth="1"/>
    <col min="13545" max="13545" width="25.7109375" style="155" customWidth="1"/>
    <col min="13546" max="13546" width="18.28515625" style="155" bestFit="1" customWidth="1"/>
    <col min="13547" max="13547" width="17" style="155" customWidth="1"/>
    <col min="13548" max="13548" width="21.5703125" style="155" bestFit="1" customWidth="1"/>
    <col min="13549" max="13549" width="18.42578125" style="155" bestFit="1" customWidth="1"/>
    <col min="13550" max="13550" width="26" style="155" customWidth="1"/>
    <col min="13551" max="13551" width="18.28515625" style="155" customWidth="1"/>
    <col min="13552" max="13552" width="19.140625" style="155" customWidth="1"/>
    <col min="13553" max="13553" width="26" style="155" customWidth="1"/>
    <col min="13554" max="13554" width="20.28515625" style="155" customWidth="1"/>
    <col min="13555" max="13555" width="18.28515625" style="155" customWidth="1"/>
    <col min="13556" max="13556" width="15.28515625" style="155" bestFit="1" customWidth="1"/>
    <col min="13557" max="13557" width="16" style="155" bestFit="1" customWidth="1"/>
    <col min="13558" max="13558" width="16" style="155" customWidth="1"/>
    <col min="13559" max="13567" width="16" style="155" bestFit="1" customWidth="1"/>
    <col min="13568" max="13568" width="17.140625" style="155" bestFit="1" customWidth="1"/>
    <col min="13569" max="13569" width="16" style="155" bestFit="1" customWidth="1"/>
    <col min="13570" max="13570" width="10.7109375" style="155"/>
    <col min="13571" max="13571" width="13.42578125" style="155" bestFit="1" customWidth="1"/>
    <col min="13572" max="13799" width="10.7109375" style="155"/>
    <col min="13800" max="13800" width="4.42578125" style="155" bestFit="1" customWidth="1"/>
    <col min="13801" max="13801" width="25.7109375" style="155" customWidth="1"/>
    <col min="13802" max="13802" width="18.28515625" style="155" bestFit="1" customWidth="1"/>
    <col min="13803" max="13803" width="17" style="155" customWidth="1"/>
    <col min="13804" max="13804" width="21.5703125" style="155" bestFit="1" customWidth="1"/>
    <col min="13805" max="13805" width="18.42578125" style="155" bestFit="1" customWidth="1"/>
    <col min="13806" max="13806" width="26" style="155" customWidth="1"/>
    <col min="13807" max="13807" width="18.28515625" style="155" customWidth="1"/>
    <col min="13808" max="13808" width="19.140625" style="155" customWidth="1"/>
    <col min="13809" max="13809" width="26" style="155" customWidth="1"/>
    <col min="13810" max="13810" width="20.28515625" style="155" customWidth="1"/>
    <col min="13811" max="13811" width="18.28515625" style="155" customWidth="1"/>
    <col min="13812" max="13812" width="15.28515625" style="155" bestFit="1" customWidth="1"/>
    <col min="13813" max="13813" width="16" style="155" bestFit="1" customWidth="1"/>
    <col min="13814" max="13814" width="16" style="155" customWidth="1"/>
    <col min="13815" max="13823" width="16" style="155" bestFit="1" customWidth="1"/>
    <col min="13824" max="13824" width="17.140625" style="155" bestFit="1" customWidth="1"/>
    <col min="13825" max="13825" width="16" style="155" bestFit="1" customWidth="1"/>
    <col min="13826" max="13826" width="10.7109375" style="155"/>
    <col min="13827" max="13827" width="13.42578125" style="155" bestFit="1" customWidth="1"/>
    <col min="13828" max="14055" width="10.7109375" style="155"/>
    <col min="14056" max="14056" width="4.42578125" style="155" bestFit="1" customWidth="1"/>
    <col min="14057" max="14057" width="25.7109375" style="155" customWidth="1"/>
    <col min="14058" max="14058" width="18.28515625" style="155" bestFit="1" customWidth="1"/>
    <col min="14059" max="14059" width="17" style="155" customWidth="1"/>
    <col min="14060" max="14060" width="21.5703125" style="155" bestFit="1" customWidth="1"/>
    <col min="14061" max="14061" width="18.42578125" style="155" bestFit="1" customWidth="1"/>
    <col min="14062" max="14062" width="26" style="155" customWidth="1"/>
    <col min="14063" max="14063" width="18.28515625" style="155" customWidth="1"/>
    <col min="14064" max="14064" width="19.140625" style="155" customWidth="1"/>
    <col min="14065" max="14065" width="26" style="155" customWidth="1"/>
    <col min="14066" max="14066" width="20.28515625" style="155" customWidth="1"/>
    <col min="14067" max="14067" width="18.28515625" style="155" customWidth="1"/>
    <col min="14068" max="14068" width="15.28515625" style="155" bestFit="1" customWidth="1"/>
    <col min="14069" max="14069" width="16" style="155" bestFit="1" customWidth="1"/>
    <col min="14070" max="14070" width="16" style="155" customWidth="1"/>
    <col min="14071" max="14079" width="16" style="155" bestFit="1" customWidth="1"/>
    <col min="14080" max="14080" width="17.140625" style="155" bestFit="1" customWidth="1"/>
    <col min="14081" max="14081" width="16" style="155" bestFit="1" customWidth="1"/>
    <col min="14082" max="14082" width="10.7109375" style="155"/>
    <col min="14083" max="14083" width="13.42578125" style="155" bestFit="1" customWidth="1"/>
    <col min="14084" max="14311" width="10.7109375" style="155"/>
    <col min="14312" max="14312" width="4.42578125" style="155" bestFit="1" customWidth="1"/>
    <col min="14313" max="14313" width="25.7109375" style="155" customWidth="1"/>
    <col min="14314" max="14314" width="18.28515625" style="155" bestFit="1" customWidth="1"/>
    <col min="14315" max="14315" width="17" style="155" customWidth="1"/>
    <col min="14316" max="14316" width="21.5703125" style="155" bestFit="1" customWidth="1"/>
    <col min="14317" max="14317" width="18.42578125" style="155" bestFit="1" customWidth="1"/>
    <col min="14318" max="14318" width="26" style="155" customWidth="1"/>
    <col min="14319" max="14319" width="18.28515625" style="155" customWidth="1"/>
    <col min="14320" max="14320" width="19.140625" style="155" customWidth="1"/>
    <col min="14321" max="14321" width="26" style="155" customWidth="1"/>
    <col min="14322" max="14322" width="20.28515625" style="155" customWidth="1"/>
    <col min="14323" max="14323" width="18.28515625" style="155" customWidth="1"/>
    <col min="14324" max="14324" width="15.28515625" style="155" bestFit="1" customWidth="1"/>
    <col min="14325" max="14325" width="16" style="155" bestFit="1" customWidth="1"/>
    <col min="14326" max="14326" width="16" style="155" customWidth="1"/>
    <col min="14327" max="14335" width="16" style="155" bestFit="1" customWidth="1"/>
    <col min="14336" max="14336" width="17.140625" style="155" bestFit="1" customWidth="1"/>
    <col min="14337" max="14337" width="16" style="155" bestFit="1" customWidth="1"/>
    <col min="14338" max="14338" width="10.7109375" style="155"/>
    <col min="14339" max="14339" width="13.42578125" style="155" bestFit="1" customWidth="1"/>
    <col min="14340" max="14567" width="10.7109375" style="155"/>
    <col min="14568" max="14568" width="4.42578125" style="155" bestFit="1" customWidth="1"/>
    <col min="14569" max="14569" width="25.7109375" style="155" customWidth="1"/>
    <col min="14570" max="14570" width="18.28515625" style="155" bestFit="1" customWidth="1"/>
    <col min="14571" max="14571" width="17" style="155" customWidth="1"/>
    <col min="14572" max="14572" width="21.5703125" style="155" bestFit="1" customWidth="1"/>
    <col min="14573" max="14573" width="18.42578125" style="155" bestFit="1" customWidth="1"/>
    <col min="14574" max="14574" width="26" style="155" customWidth="1"/>
    <col min="14575" max="14575" width="18.28515625" style="155" customWidth="1"/>
    <col min="14576" max="14576" width="19.140625" style="155" customWidth="1"/>
    <col min="14577" max="14577" width="26" style="155" customWidth="1"/>
    <col min="14578" max="14578" width="20.28515625" style="155" customWidth="1"/>
    <col min="14579" max="14579" width="18.28515625" style="155" customWidth="1"/>
    <col min="14580" max="14580" width="15.28515625" style="155" bestFit="1" customWidth="1"/>
    <col min="14581" max="14581" width="16" style="155" bestFit="1" customWidth="1"/>
    <col min="14582" max="14582" width="16" style="155" customWidth="1"/>
    <col min="14583" max="14591" width="16" style="155" bestFit="1" customWidth="1"/>
    <col min="14592" max="14592" width="17.140625" style="155" bestFit="1" customWidth="1"/>
    <col min="14593" max="14593" width="16" style="155" bestFit="1" customWidth="1"/>
    <col min="14594" max="14594" width="10.7109375" style="155"/>
    <col min="14595" max="14595" width="13.42578125" style="155" bestFit="1" customWidth="1"/>
    <col min="14596" max="14823" width="10.7109375" style="155"/>
    <col min="14824" max="14824" width="4.42578125" style="155" bestFit="1" customWidth="1"/>
    <col min="14825" max="14825" width="25.7109375" style="155" customWidth="1"/>
    <col min="14826" max="14826" width="18.28515625" style="155" bestFit="1" customWidth="1"/>
    <col min="14827" max="14827" width="17" style="155" customWidth="1"/>
    <col min="14828" max="14828" width="21.5703125" style="155" bestFit="1" customWidth="1"/>
    <col min="14829" max="14829" width="18.42578125" style="155" bestFit="1" customWidth="1"/>
    <col min="14830" max="14830" width="26" style="155" customWidth="1"/>
    <col min="14831" max="14831" width="18.28515625" style="155" customWidth="1"/>
    <col min="14832" max="14832" width="19.140625" style="155" customWidth="1"/>
    <col min="14833" max="14833" width="26" style="155" customWidth="1"/>
    <col min="14834" max="14834" width="20.28515625" style="155" customWidth="1"/>
    <col min="14835" max="14835" width="18.28515625" style="155" customWidth="1"/>
    <col min="14836" max="14836" width="15.28515625" style="155" bestFit="1" customWidth="1"/>
    <col min="14837" max="14837" width="16" style="155" bestFit="1" customWidth="1"/>
    <col min="14838" max="14838" width="16" style="155" customWidth="1"/>
    <col min="14839" max="14847" width="16" style="155" bestFit="1" customWidth="1"/>
    <col min="14848" max="14848" width="17.140625" style="155" bestFit="1" customWidth="1"/>
    <col min="14849" max="14849" width="16" style="155" bestFit="1" customWidth="1"/>
    <col min="14850" max="14850" width="10.7109375" style="155"/>
    <col min="14851" max="14851" width="13.42578125" style="155" bestFit="1" customWidth="1"/>
    <col min="14852" max="15079" width="10.7109375" style="155"/>
    <col min="15080" max="15080" width="4.42578125" style="155" bestFit="1" customWidth="1"/>
    <col min="15081" max="15081" width="25.7109375" style="155" customWidth="1"/>
    <col min="15082" max="15082" width="18.28515625" style="155" bestFit="1" customWidth="1"/>
    <col min="15083" max="15083" width="17" style="155" customWidth="1"/>
    <col min="15084" max="15084" width="21.5703125" style="155" bestFit="1" customWidth="1"/>
    <col min="15085" max="15085" width="18.42578125" style="155" bestFit="1" customWidth="1"/>
    <col min="15086" max="15086" width="26" style="155" customWidth="1"/>
    <col min="15087" max="15087" width="18.28515625" style="155" customWidth="1"/>
    <col min="15088" max="15088" width="19.140625" style="155" customWidth="1"/>
    <col min="15089" max="15089" width="26" style="155" customWidth="1"/>
    <col min="15090" max="15090" width="20.28515625" style="155" customWidth="1"/>
    <col min="15091" max="15091" width="18.28515625" style="155" customWidth="1"/>
    <col min="15092" max="15092" width="15.28515625" style="155" bestFit="1" customWidth="1"/>
    <col min="15093" max="15093" width="16" style="155" bestFit="1" customWidth="1"/>
    <col min="15094" max="15094" width="16" style="155" customWidth="1"/>
    <col min="15095" max="15103" width="16" style="155" bestFit="1" customWidth="1"/>
    <col min="15104" max="15104" width="17.140625" style="155" bestFit="1" customWidth="1"/>
    <col min="15105" max="15105" width="16" style="155" bestFit="1" customWidth="1"/>
    <col min="15106" max="15106" width="10.7109375" style="155"/>
    <col min="15107" max="15107" width="13.42578125" style="155" bestFit="1" customWidth="1"/>
    <col min="15108" max="15335" width="10.7109375" style="155"/>
    <col min="15336" max="15336" width="4.42578125" style="155" bestFit="1" customWidth="1"/>
    <col min="15337" max="15337" width="25.7109375" style="155" customWidth="1"/>
    <col min="15338" max="15338" width="18.28515625" style="155" bestFit="1" customWidth="1"/>
    <col min="15339" max="15339" width="17" style="155" customWidth="1"/>
    <col min="15340" max="15340" width="21.5703125" style="155" bestFit="1" customWidth="1"/>
    <col min="15341" max="15341" width="18.42578125" style="155" bestFit="1" customWidth="1"/>
    <col min="15342" max="15342" width="26" style="155" customWidth="1"/>
    <col min="15343" max="15343" width="18.28515625" style="155" customWidth="1"/>
    <col min="15344" max="15344" width="19.140625" style="155" customWidth="1"/>
    <col min="15345" max="15345" width="26" style="155" customWidth="1"/>
    <col min="15346" max="15346" width="20.28515625" style="155" customWidth="1"/>
    <col min="15347" max="15347" width="18.28515625" style="155" customWidth="1"/>
    <col min="15348" max="15348" width="15.28515625" style="155" bestFit="1" customWidth="1"/>
    <col min="15349" max="15349" width="16" style="155" bestFit="1" customWidth="1"/>
    <col min="15350" max="15350" width="16" style="155" customWidth="1"/>
    <col min="15351" max="15359" width="16" style="155" bestFit="1" customWidth="1"/>
    <col min="15360" max="15360" width="17.140625" style="155" bestFit="1" customWidth="1"/>
    <col min="15361" max="15361" width="16" style="155" bestFit="1" customWidth="1"/>
    <col min="15362" max="15362" width="10.7109375" style="155"/>
    <col min="15363" max="15363" width="13.42578125" style="155" bestFit="1" customWidth="1"/>
    <col min="15364" max="15591" width="10.7109375" style="155"/>
    <col min="15592" max="15592" width="4.42578125" style="155" bestFit="1" customWidth="1"/>
    <col min="15593" max="15593" width="25.7109375" style="155" customWidth="1"/>
    <col min="15594" max="15594" width="18.28515625" style="155" bestFit="1" customWidth="1"/>
    <col min="15595" max="15595" width="17" style="155" customWidth="1"/>
    <col min="15596" max="15596" width="21.5703125" style="155" bestFit="1" customWidth="1"/>
    <col min="15597" max="15597" width="18.42578125" style="155" bestFit="1" customWidth="1"/>
    <col min="15598" max="15598" width="26" style="155" customWidth="1"/>
    <col min="15599" max="15599" width="18.28515625" style="155" customWidth="1"/>
    <col min="15600" max="15600" width="19.140625" style="155" customWidth="1"/>
    <col min="15601" max="15601" width="26" style="155" customWidth="1"/>
    <col min="15602" max="15602" width="20.28515625" style="155" customWidth="1"/>
    <col min="15603" max="15603" width="18.28515625" style="155" customWidth="1"/>
    <col min="15604" max="15604" width="15.28515625" style="155" bestFit="1" customWidth="1"/>
    <col min="15605" max="15605" width="16" style="155" bestFit="1" customWidth="1"/>
    <col min="15606" max="15606" width="16" style="155" customWidth="1"/>
    <col min="15607" max="15615" width="16" style="155" bestFit="1" customWidth="1"/>
    <col min="15616" max="15616" width="17.140625" style="155" bestFit="1" customWidth="1"/>
    <col min="15617" max="15617" width="16" style="155" bestFit="1" customWidth="1"/>
    <col min="15618" max="15618" width="10.7109375" style="155"/>
    <col min="15619" max="15619" width="13.42578125" style="155" bestFit="1" customWidth="1"/>
    <col min="15620" max="15847" width="10.7109375" style="155"/>
    <col min="15848" max="15848" width="4.42578125" style="155" bestFit="1" customWidth="1"/>
    <col min="15849" max="15849" width="25.7109375" style="155" customWidth="1"/>
    <col min="15850" max="15850" width="18.28515625" style="155" bestFit="1" customWidth="1"/>
    <col min="15851" max="15851" width="17" style="155" customWidth="1"/>
    <col min="15852" max="15852" width="21.5703125" style="155" bestFit="1" customWidth="1"/>
    <col min="15853" max="15853" width="18.42578125" style="155" bestFit="1" customWidth="1"/>
    <col min="15854" max="15854" width="26" style="155" customWidth="1"/>
    <col min="15855" max="15855" width="18.28515625" style="155" customWidth="1"/>
    <col min="15856" max="15856" width="19.140625" style="155" customWidth="1"/>
    <col min="15857" max="15857" width="26" style="155" customWidth="1"/>
    <col min="15858" max="15858" width="20.28515625" style="155" customWidth="1"/>
    <col min="15859" max="15859" width="18.28515625" style="155" customWidth="1"/>
    <col min="15860" max="15860" width="15.28515625" style="155" bestFit="1" customWidth="1"/>
    <col min="15861" max="15861" width="16" style="155" bestFit="1" customWidth="1"/>
    <col min="15862" max="15862" width="16" style="155" customWidth="1"/>
    <col min="15863" max="15871" width="16" style="155" bestFit="1" customWidth="1"/>
    <col min="15872" max="15872" width="17.140625" style="155" bestFit="1" customWidth="1"/>
    <col min="15873" max="15873" width="16" style="155" bestFit="1" customWidth="1"/>
    <col min="15874" max="15874" width="10.7109375" style="155"/>
    <col min="15875" max="15875" width="13.42578125" style="155" bestFit="1" customWidth="1"/>
    <col min="15876" max="16103" width="10.7109375" style="155"/>
    <col min="16104" max="16104" width="4.42578125" style="155" bestFit="1" customWidth="1"/>
    <col min="16105" max="16105" width="25.7109375" style="155" customWidth="1"/>
    <col min="16106" max="16106" width="18.28515625" style="155" bestFit="1" customWidth="1"/>
    <col min="16107" max="16107" width="17" style="155" customWidth="1"/>
    <col min="16108" max="16108" width="21.5703125" style="155" bestFit="1" customWidth="1"/>
    <col min="16109" max="16109" width="18.42578125" style="155" bestFit="1" customWidth="1"/>
    <col min="16110" max="16110" width="26" style="155" customWidth="1"/>
    <col min="16111" max="16111" width="18.28515625" style="155" customWidth="1"/>
    <col min="16112" max="16112" width="19.140625" style="155" customWidth="1"/>
    <col min="16113" max="16113" width="26" style="155" customWidth="1"/>
    <col min="16114" max="16114" width="20.28515625" style="155" customWidth="1"/>
    <col min="16115" max="16115" width="18.28515625" style="155" customWidth="1"/>
    <col min="16116" max="16116" width="15.28515625" style="155" bestFit="1" customWidth="1"/>
    <col min="16117" max="16117" width="16" style="155" bestFit="1" customWidth="1"/>
    <col min="16118" max="16118" width="16" style="155" customWidth="1"/>
    <col min="16119" max="16127" width="16" style="155" bestFit="1" customWidth="1"/>
    <col min="16128" max="16128" width="17.140625" style="155" bestFit="1" customWidth="1"/>
    <col min="16129" max="16129" width="16" style="155" bestFit="1" customWidth="1"/>
    <col min="16130" max="16130" width="10.7109375" style="155"/>
    <col min="16131" max="16131" width="13.42578125" style="155" bestFit="1" customWidth="1"/>
    <col min="16132" max="16384" width="10.7109375" style="155"/>
  </cols>
  <sheetData>
    <row r="1" spans="1:22" s="1" customFormat="1" ht="108" customHeight="1" x14ac:dyDescent="0.25">
      <c r="B1" s="2"/>
      <c r="C1" s="2"/>
      <c r="D1" s="2"/>
      <c r="E1" s="3" t="s">
        <v>0</v>
      </c>
      <c r="F1" s="3"/>
      <c r="G1" s="3"/>
      <c r="H1" s="3"/>
      <c r="I1" s="3"/>
      <c r="J1" s="3"/>
      <c r="K1" s="3"/>
    </row>
    <row r="2" spans="1:22" s="1" customFormat="1" ht="110.25" customHeight="1" x14ac:dyDescent="0.25">
      <c r="B2" s="4"/>
      <c r="C2" s="4"/>
      <c r="D2" s="4"/>
      <c r="E2" s="3"/>
      <c r="F2" s="3"/>
      <c r="G2" s="3"/>
      <c r="H2" s="3"/>
      <c r="I2" s="3"/>
      <c r="J2" s="3"/>
      <c r="K2" s="3"/>
    </row>
    <row r="3" spans="1:22" s="12" customFormat="1" ht="22.5" customHeight="1" x14ac:dyDescent="0.25">
      <c r="A3" s="1"/>
      <c r="B3" s="5" t="s">
        <v>1</v>
      </c>
      <c r="C3" s="6">
        <v>45465</v>
      </c>
      <c r="D3" s="6"/>
      <c r="E3" s="6"/>
      <c r="F3" s="6"/>
      <c r="G3" s="6"/>
      <c r="H3" s="7"/>
      <c r="I3" s="8" t="s">
        <v>2</v>
      </c>
      <c r="J3" s="9" t="s">
        <v>3</v>
      </c>
      <c r="K3" s="10"/>
      <c r="L3" s="11" t="s">
        <v>4</v>
      </c>
      <c r="M3" s="11"/>
      <c r="N3" s="1"/>
      <c r="O3" s="1"/>
      <c r="P3" s="1"/>
      <c r="Q3" s="1"/>
      <c r="R3" s="1"/>
      <c r="S3" s="1"/>
      <c r="T3" s="1"/>
      <c r="U3" s="1"/>
      <c r="V3" s="1"/>
    </row>
    <row r="4" spans="1:22" s="12" customFormat="1" ht="35.25" customHeight="1" x14ac:dyDescent="0.25">
      <c r="A4" s="1"/>
      <c r="B4" s="5" t="s">
        <v>5</v>
      </c>
      <c r="C4" s="6">
        <v>14651</v>
      </c>
      <c r="D4" s="6"/>
      <c r="E4" s="6"/>
      <c r="F4" s="6"/>
      <c r="G4" s="6"/>
      <c r="H4" s="7"/>
      <c r="I4" s="13" t="s">
        <v>6</v>
      </c>
      <c r="J4" s="13"/>
      <c r="K4" s="14"/>
      <c r="L4" s="15" t="s">
        <v>7</v>
      </c>
      <c r="M4" s="16" t="s">
        <v>8</v>
      </c>
      <c r="N4" s="1"/>
      <c r="O4" s="1"/>
      <c r="P4" s="1"/>
      <c r="Q4" s="1"/>
      <c r="R4" s="1"/>
      <c r="S4" s="1"/>
      <c r="T4" s="1"/>
      <c r="U4" s="1"/>
      <c r="V4" s="1"/>
    </row>
    <row r="5" spans="1:22" s="12" customFormat="1" ht="36" customHeight="1" x14ac:dyDescent="0.25">
      <c r="A5" s="1"/>
      <c r="B5" s="5" t="s">
        <v>9</v>
      </c>
      <c r="C5" s="17">
        <v>44770</v>
      </c>
      <c r="D5" s="17"/>
      <c r="E5" s="18" t="s">
        <v>10</v>
      </c>
      <c r="F5" s="18"/>
      <c r="G5" s="19">
        <f>B44</f>
        <v>44805</v>
      </c>
      <c r="H5" s="7"/>
      <c r="I5" s="13"/>
      <c r="J5" s="13"/>
      <c r="K5" s="20"/>
      <c r="L5" s="21" t="s">
        <v>11</v>
      </c>
      <c r="M5" s="22">
        <f>C18</f>
        <v>2.2499999999999999E-2</v>
      </c>
      <c r="N5" s="1"/>
      <c r="O5" s="1"/>
      <c r="P5" s="1"/>
      <c r="Q5" s="1"/>
      <c r="R5" s="1"/>
      <c r="S5" s="1"/>
      <c r="T5" s="1"/>
      <c r="U5" s="1"/>
      <c r="V5" s="1"/>
    </row>
    <row r="6" spans="1:22" s="1" customFormat="1" ht="41.25" customHeight="1" x14ac:dyDescent="0.25">
      <c r="B6" s="23"/>
      <c r="C6" s="24"/>
      <c r="D6" s="24"/>
      <c r="E6" s="25"/>
      <c r="F6" s="25"/>
      <c r="G6" s="26"/>
      <c r="H6" s="27"/>
      <c r="I6" s="28" t="s">
        <v>12</v>
      </c>
      <c r="J6" s="29">
        <f>E24</f>
        <v>12406.1594</v>
      </c>
      <c r="K6" s="20"/>
      <c r="L6" s="21"/>
      <c r="M6" s="22"/>
    </row>
    <row r="7" spans="1:22" s="1" customFormat="1" ht="42" customHeight="1" x14ac:dyDescent="0.25">
      <c r="B7" s="30"/>
      <c r="C7" s="31"/>
      <c r="D7" s="31"/>
      <c r="E7" s="27"/>
      <c r="F7" s="27"/>
      <c r="G7" s="27"/>
      <c r="I7" s="28" t="s">
        <v>13</v>
      </c>
      <c r="J7" s="32">
        <f>F24</f>
        <v>6232.4775</v>
      </c>
      <c r="K7" s="20"/>
      <c r="L7" s="33"/>
      <c r="M7" s="34"/>
    </row>
    <row r="8" spans="1:22" s="12" customFormat="1" ht="43.5" customHeight="1" x14ac:dyDescent="0.25">
      <c r="A8" s="1"/>
      <c r="B8" s="35" t="s">
        <v>14</v>
      </c>
      <c r="C8" s="36">
        <f>[1]COTIZADORES!B11</f>
        <v>261999</v>
      </c>
      <c r="D8" s="36"/>
      <c r="E8" s="37"/>
      <c r="F8" s="37"/>
      <c r="G8" s="1"/>
      <c r="H8" s="38"/>
      <c r="I8" s="28" t="s">
        <v>15</v>
      </c>
      <c r="J8" s="39" t="s">
        <v>16</v>
      </c>
      <c r="K8" s="40"/>
      <c r="L8" s="41"/>
      <c r="M8" s="42"/>
      <c r="N8" s="1"/>
      <c r="O8" s="1"/>
      <c r="P8" s="1"/>
      <c r="Q8" s="1"/>
      <c r="R8" s="1"/>
      <c r="S8" s="1"/>
      <c r="T8" s="1"/>
      <c r="U8" s="1"/>
      <c r="V8" s="1"/>
    </row>
    <row r="9" spans="1:22" s="1" customFormat="1" ht="32.25" customHeight="1" x14ac:dyDescent="0.25">
      <c r="B9" s="35" t="s">
        <v>17</v>
      </c>
      <c r="C9" s="43">
        <f>C8+C21</f>
        <v>276999</v>
      </c>
      <c r="D9" s="43"/>
      <c r="E9" s="44"/>
      <c r="F9" s="44"/>
      <c r="H9" s="45"/>
      <c r="I9" s="28" t="s">
        <v>18</v>
      </c>
      <c r="J9" s="39" t="s">
        <v>16</v>
      </c>
      <c r="K9" s="46"/>
      <c r="L9" s="47"/>
    </row>
    <row r="10" spans="1:22" s="1" customFormat="1" ht="39.75" customHeight="1" x14ac:dyDescent="0.25">
      <c r="B10" s="48" t="s">
        <v>19</v>
      </c>
      <c r="C10" s="49" t="s">
        <v>20</v>
      </c>
      <c r="D10" s="49"/>
      <c r="G10" s="38"/>
      <c r="H10" s="45"/>
      <c r="I10" s="50" t="s">
        <v>21</v>
      </c>
      <c r="J10" s="51">
        <f>F24</f>
        <v>6232.4775</v>
      </c>
      <c r="K10" s="52"/>
    </row>
    <row r="11" spans="1:22" s="53" customFormat="1" ht="48.75" customHeight="1" x14ac:dyDescent="0.25">
      <c r="B11" s="54"/>
      <c r="C11" s="55"/>
      <c r="D11" s="55"/>
      <c r="G11" s="56"/>
      <c r="H11" s="57"/>
      <c r="K11" s="58"/>
    </row>
    <row r="12" spans="1:22" s="53" customFormat="1" ht="42" customHeight="1" x14ac:dyDescent="0.25">
      <c r="B12" s="59" t="s">
        <v>22</v>
      </c>
      <c r="C12" s="59"/>
      <c r="D12" s="59"/>
      <c r="E12" s="60" t="s">
        <v>23</v>
      </c>
      <c r="F12" s="61" t="s">
        <v>24</v>
      </c>
      <c r="G12" s="62" t="s">
        <v>25</v>
      </c>
      <c r="H12" s="56"/>
      <c r="I12" s="63" t="s">
        <v>26</v>
      </c>
      <c r="J12" s="63"/>
      <c r="K12" s="64"/>
      <c r="L12" s="65" t="s">
        <v>27</v>
      </c>
      <c r="M12" s="65"/>
    </row>
    <row r="13" spans="1:22" s="53" customFormat="1" ht="35.25" customHeight="1" thickBot="1" x14ac:dyDescent="0.35">
      <c r="B13" s="66" t="s">
        <v>28</v>
      </c>
      <c r="C13" s="67">
        <v>0</v>
      </c>
      <c r="D13" s="67"/>
      <c r="E13" s="68"/>
      <c r="F13" s="69"/>
      <c r="G13" s="70"/>
      <c r="H13" s="56"/>
      <c r="I13" s="71" t="s">
        <v>29</v>
      </c>
      <c r="J13" s="72">
        <f>((J16-J15)/J15)/5</f>
        <v>0.14323679999999966</v>
      </c>
      <c r="K13" s="73"/>
      <c r="L13" s="74" t="s">
        <v>30</v>
      </c>
      <c r="M13" s="75" t="s">
        <v>8</v>
      </c>
    </row>
    <row r="14" spans="1:22" s="53" customFormat="1" ht="22.5" customHeight="1" thickBot="1" x14ac:dyDescent="0.35">
      <c r="B14" s="66" t="s">
        <v>31</v>
      </c>
      <c r="C14" s="67">
        <v>3.5000000000000003E-2</v>
      </c>
      <c r="D14" s="67"/>
      <c r="E14" s="76">
        <f>C9*C14</f>
        <v>9694.9650000000001</v>
      </c>
      <c r="F14" s="77"/>
      <c r="G14" s="70"/>
      <c r="H14" s="56"/>
      <c r="I14" s="71" t="s">
        <v>32</v>
      </c>
      <c r="J14" s="78">
        <f>C17*12</f>
        <v>0.12</v>
      </c>
      <c r="K14" s="73"/>
      <c r="L14" s="79" t="s">
        <v>33</v>
      </c>
      <c r="M14" s="80">
        <f>C19</f>
        <v>1.2812499999999999E-2</v>
      </c>
      <c r="O14" s="81"/>
    </row>
    <row r="15" spans="1:22" s="53" customFormat="1" ht="22.5" customHeight="1" thickBot="1" x14ac:dyDescent="0.35">
      <c r="B15" s="66" t="s">
        <v>34</v>
      </c>
      <c r="C15" s="67">
        <v>0.16</v>
      </c>
      <c r="D15" s="82"/>
      <c r="E15" s="32">
        <f>E14*C15</f>
        <v>1551.1944000000001</v>
      </c>
      <c r="F15" s="77"/>
      <c r="G15" s="70">
        <f>(G16+G17)*C15</f>
        <v>403.31054399999999</v>
      </c>
      <c r="H15" s="83"/>
      <c r="I15" s="71" t="s">
        <v>35</v>
      </c>
      <c r="J15" s="84">
        <f>C9</f>
        <v>276999</v>
      </c>
      <c r="K15" s="85"/>
      <c r="L15" s="79" t="s">
        <v>36</v>
      </c>
      <c r="M15" s="86">
        <f>C16</f>
        <v>8.9999999999999998E-4</v>
      </c>
      <c r="O15" s="81"/>
    </row>
    <row r="16" spans="1:22" s="53" customFormat="1" ht="22.5" customHeight="1" thickBot="1" x14ac:dyDescent="0.35">
      <c r="B16" s="66" t="s">
        <v>15</v>
      </c>
      <c r="C16" s="67">
        <v>8.9999999999999998E-4</v>
      </c>
      <c r="D16" s="82"/>
      <c r="E16" s="87"/>
      <c r="F16" s="77"/>
      <c r="G16" s="70">
        <f>C9*C16</f>
        <v>249.29909999999998</v>
      </c>
      <c r="H16" s="56"/>
      <c r="I16" s="71" t="s">
        <v>37</v>
      </c>
      <c r="J16" s="84">
        <f>E41</f>
        <v>475381.25181599951</v>
      </c>
      <c r="K16" s="88"/>
      <c r="L16" s="79" t="s">
        <v>38</v>
      </c>
      <c r="M16" s="86">
        <f>C17</f>
        <v>0.01</v>
      </c>
    </row>
    <row r="17" spans="2:13" s="53" customFormat="1" ht="36" customHeight="1" thickBot="1" x14ac:dyDescent="0.35">
      <c r="B17" s="66" t="s">
        <v>39</v>
      </c>
      <c r="C17" s="67">
        <v>0.01</v>
      </c>
      <c r="D17" s="82"/>
      <c r="E17" s="87"/>
      <c r="F17" s="77"/>
      <c r="G17" s="70">
        <f>C52*C17</f>
        <v>2271.3917999999999</v>
      </c>
      <c r="H17" s="56"/>
      <c r="I17" s="71" t="s">
        <v>40</v>
      </c>
      <c r="J17" s="84">
        <f>E14</f>
        <v>9694.9650000000001</v>
      </c>
      <c r="L17" s="79" t="s">
        <v>41</v>
      </c>
      <c r="M17" s="89">
        <f>G15/C9</f>
        <v>1.456E-3</v>
      </c>
    </row>
    <row r="18" spans="2:13" s="53" customFormat="1" ht="22.5" customHeight="1" thickBot="1" x14ac:dyDescent="0.35">
      <c r="B18" s="66" t="s">
        <v>42</v>
      </c>
      <c r="C18" s="90">
        <f>18%/8</f>
        <v>2.2499999999999999E-2</v>
      </c>
      <c r="D18" s="90"/>
      <c r="E18" s="78"/>
      <c r="F18" s="91">
        <f>C9*C18</f>
        <v>6232.4775</v>
      </c>
      <c r="G18" s="70"/>
      <c r="I18" s="71" t="s">
        <v>43</v>
      </c>
      <c r="J18" s="78">
        <f>C14</f>
        <v>3.5000000000000003E-2</v>
      </c>
      <c r="K18" s="92"/>
      <c r="L18" s="93" t="s">
        <v>44</v>
      </c>
      <c r="M18" s="94">
        <f>G24/C9</f>
        <v>2.33685E-2</v>
      </c>
    </row>
    <row r="19" spans="2:13" s="53" customFormat="1" ht="22.5" customHeight="1" x14ac:dyDescent="0.3">
      <c r="B19" s="66" t="s">
        <v>45</v>
      </c>
      <c r="C19" s="90">
        <f>82%/64</f>
        <v>1.2812499999999999E-2</v>
      </c>
      <c r="D19" s="90"/>
      <c r="E19" s="78"/>
      <c r="F19" s="91"/>
      <c r="G19" s="95">
        <f>C9*C19</f>
        <v>3549.0496874999999</v>
      </c>
      <c r="K19" s="88"/>
      <c r="L19" s="96"/>
    </row>
    <row r="20" spans="2:13" s="53" customFormat="1" ht="30" customHeight="1" x14ac:dyDescent="0.35">
      <c r="B20" s="66" t="s">
        <v>46</v>
      </c>
      <c r="C20" s="90">
        <v>1.4999999999999999E-2</v>
      </c>
      <c r="D20" s="90"/>
      <c r="E20" s="78"/>
      <c r="F20" s="91"/>
      <c r="G20" s="97"/>
      <c r="I20" s="98"/>
      <c r="J20" s="98"/>
      <c r="K20" s="88"/>
    </row>
    <row r="21" spans="2:13" s="53" customFormat="1" ht="30" customHeight="1" x14ac:dyDescent="0.35">
      <c r="B21" s="99" t="s">
        <v>47</v>
      </c>
      <c r="C21" s="100">
        <v>15000</v>
      </c>
      <c r="D21" s="101"/>
      <c r="E21" s="78"/>
      <c r="F21" s="91"/>
      <c r="G21" s="97"/>
      <c r="I21" s="98"/>
      <c r="J21" s="98"/>
      <c r="K21" s="88"/>
    </row>
    <row r="22" spans="2:13" s="53" customFormat="1" ht="24" customHeight="1" x14ac:dyDescent="0.3">
      <c r="B22" s="66" t="s">
        <v>48</v>
      </c>
      <c r="C22" s="102">
        <f>C9*C20</f>
        <v>4154.9849999999997</v>
      </c>
      <c r="D22" s="102"/>
      <c r="E22" s="76"/>
      <c r="F22" s="77"/>
      <c r="G22" s="97"/>
      <c r="J22" s="103"/>
      <c r="K22" s="88"/>
    </row>
    <row r="23" spans="2:13" s="53" customFormat="1" ht="26.25" customHeight="1" x14ac:dyDescent="0.3">
      <c r="B23" s="66" t="s">
        <v>49</v>
      </c>
      <c r="C23" s="104">
        <f>G24/C9</f>
        <v>2.33685E-2</v>
      </c>
      <c r="D23" s="104"/>
      <c r="E23" s="105"/>
      <c r="F23" s="77"/>
      <c r="G23" s="97"/>
      <c r="J23" s="103"/>
    </row>
    <row r="24" spans="2:13" s="53" customFormat="1" ht="22.5" customHeight="1" x14ac:dyDescent="0.3">
      <c r="B24" s="106"/>
      <c r="C24" s="107" t="s">
        <v>50</v>
      </c>
      <c r="D24" s="107"/>
      <c r="E24" s="108">
        <f>SUM(E13:E23) + (1160)</f>
        <v>12406.1594</v>
      </c>
      <c r="F24" s="108">
        <f>SUM(F13:F23)</f>
        <v>6232.4775</v>
      </c>
      <c r="G24" s="108">
        <f>SUM(G13:G23)</f>
        <v>6473.0511315000003</v>
      </c>
      <c r="I24" s="109"/>
      <c r="J24" s="103"/>
    </row>
    <row r="25" spans="2:13" s="53" customFormat="1" ht="22.5" customHeight="1" x14ac:dyDescent="0.35">
      <c r="D25" s="110"/>
      <c r="E25" s="111"/>
      <c r="F25" s="112"/>
      <c r="H25" s="113"/>
      <c r="J25" s="103"/>
    </row>
    <row r="26" spans="2:13" s="53" customFormat="1" ht="22.5" customHeight="1" x14ac:dyDescent="0.25">
      <c r="D26" s="112"/>
      <c r="H26" s="114"/>
      <c r="J26" s="103"/>
    </row>
    <row r="27" spans="2:13" s="53" customFormat="1" ht="22.5" customHeight="1" x14ac:dyDescent="0.25">
      <c r="E27" s="115"/>
      <c r="H27" s="114"/>
      <c r="J27" s="103"/>
    </row>
    <row r="28" spans="2:13" s="116" customFormat="1" ht="22.5" customHeight="1" x14ac:dyDescent="0.25">
      <c r="B28" s="53"/>
      <c r="C28" s="53"/>
      <c r="D28" s="53"/>
      <c r="E28" s="53"/>
      <c r="F28" s="53"/>
      <c r="G28" s="53"/>
      <c r="H28" s="114"/>
      <c r="I28" s="53"/>
      <c r="J28" s="81"/>
    </row>
    <row r="29" spans="2:13" s="116" customFormat="1" ht="22.5" customHeight="1" x14ac:dyDescent="0.25">
      <c r="G29" s="117"/>
      <c r="H29" s="114"/>
      <c r="I29" s="114"/>
      <c r="J29" s="53"/>
    </row>
    <row r="30" spans="2:13" s="116" customFormat="1" ht="28.5" customHeight="1" x14ac:dyDescent="0.25">
      <c r="B30" s="118"/>
      <c r="C30" s="119"/>
      <c r="G30" s="117"/>
      <c r="H30" s="53"/>
      <c r="I30" s="114"/>
      <c r="J30" s="53"/>
    </row>
    <row r="31" spans="2:13" s="116" customFormat="1" ht="22.5" customHeight="1" x14ac:dyDescent="0.25">
      <c r="B31" s="120"/>
      <c r="C31" s="121"/>
      <c r="G31" s="117"/>
      <c r="H31" s="53"/>
      <c r="I31" s="114"/>
      <c r="J31" s="122"/>
      <c r="K31" s="53"/>
    </row>
    <row r="32" spans="2:13" s="116" customFormat="1" ht="22.5" customHeight="1" x14ac:dyDescent="0.25">
      <c r="B32" s="120"/>
      <c r="C32" s="121"/>
      <c r="I32" s="53"/>
      <c r="J32" s="122"/>
      <c r="K32" s="123"/>
    </row>
    <row r="33" spans="1:11" s="116" customFormat="1" ht="22.5" customHeight="1" x14ac:dyDescent="0.25">
      <c r="K33" s="124"/>
    </row>
    <row r="34" spans="1:11" s="116" customFormat="1" ht="22.5" customHeight="1" x14ac:dyDescent="0.25">
      <c r="J34" s="125"/>
      <c r="K34" s="123"/>
    </row>
    <row r="35" spans="1:11" s="53" customFormat="1" ht="30" customHeight="1" x14ac:dyDescent="0.25">
      <c r="A35" s="116"/>
      <c r="B35" s="116"/>
      <c r="C35" s="116"/>
      <c r="D35" s="116"/>
      <c r="E35" s="116"/>
      <c r="F35" s="116"/>
      <c r="G35" s="116"/>
      <c r="H35" s="116"/>
      <c r="I35" s="116"/>
      <c r="J35" s="116"/>
    </row>
    <row r="36" spans="1:11" s="53" customFormat="1" ht="22.5" customHeight="1" x14ac:dyDescent="0.25">
      <c r="A36" s="116"/>
      <c r="B36" s="116"/>
      <c r="C36" s="116"/>
      <c r="D36" s="116"/>
      <c r="E36" s="116"/>
      <c r="F36" s="116"/>
      <c r="G36" s="116"/>
    </row>
    <row r="37" spans="1:11" s="53" customFormat="1" ht="27.75" customHeight="1" x14ac:dyDescent="0.25">
      <c r="A37" s="126" t="s">
        <v>51</v>
      </c>
      <c r="B37" s="126"/>
      <c r="C37" s="126"/>
      <c r="D37" s="126"/>
      <c r="E37" s="126"/>
      <c r="F37" s="126"/>
      <c r="G37" s="126"/>
      <c r="H37" s="126"/>
      <c r="I37" s="126"/>
      <c r="J37" s="126"/>
      <c r="K37" s="126"/>
    </row>
    <row r="38" spans="1:11" s="53" customFormat="1" ht="27.75" customHeight="1" x14ac:dyDescent="0.2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</row>
    <row r="39" spans="1:11" s="53" customFormat="1" ht="27.75" customHeight="1" x14ac:dyDescent="0.25">
      <c r="A39" s="128" t="s">
        <v>52</v>
      </c>
      <c r="B39" s="128"/>
      <c r="C39" s="128"/>
      <c r="D39" s="128"/>
      <c r="E39" s="128"/>
      <c r="F39" s="128"/>
      <c r="G39" s="128"/>
      <c r="H39" s="128"/>
      <c r="I39" s="128"/>
      <c r="J39" s="128"/>
      <c r="K39" s="128"/>
    </row>
    <row r="40" spans="1:11" s="53" customFormat="1" ht="34.5" x14ac:dyDescent="0.25">
      <c r="A40" s="129" t="s">
        <v>53</v>
      </c>
      <c r="B40" s="129"/>
      <c r="C40" s="129">
        <f>C3</f>
        <v>45465</v>
      </c>
      <c r="D40" s="129"/>
      <c r="E40" s="129"/>
      <c r="F40" s="129"/>
      <c r="G40" s="129"/>
      <c r="H40" s="130"/>
      <c r="I40" s="131" t="s">
        <v>54</v>
      </c>
      <c r="J40" s="132">
        <f>C4</f>
        <v>14651</v>
      </c>
      <c r="K40" s="133"/>
    </row>
    <row r="41" spans="1:11" s="53" customFormat="1" ht="27.75" customHeight="1" x14ac:dyDescent="0.25">
      <c r="A41" s="134"/>
      <c r="B41" s="135"/>
      <c r="C41" s="136" t="e">
        <f>C43*#REF!</f>
        <v>#REF!</v>
      </c>
      <c r="D41" s="135"/>
      <c r="E41" s="137">
        <f>SUBTOTAL(9,E43:E165)</f>
        <v>475381.25181599951</v>
      </c>
      <c r="F41" s="138">
        <f>F44/$E$43</f>
        <v>0.55418719211822653</v>
      </c>
      <c r="G41" s="135"/>
      <c r="H41" s="138">
        <f>(H44+D43)/$E$43</f>
        <v>0.86206896551724133</v>
      </c>
      <c r="I41" s="138">
        <f>I44/$E$44</f>
        <v>0</v>
      </c>
      <c r="J41" s="138">
        <f>J44/$E$44</f>
        <v>0</v>
      </c>
      <c r="K41" s="138"/>
    </row>
    <row r="42" spans="1:11" s="53" customFormat="1" ht="45" x14ac:dyDescent="0.25">
      <c r="A42" s="139"/>
      <c r="B42" s="140" t="s">
        <v>55</v>
      </c>
      <c r="C42" s="141" t="s">
        <v>56</v>
      </c>
      <c r="D42" s="141" t="s">
        <v>57</v>
      </c>
      <c r="E42" s="141" t="s">
        <v>58</v>
      </c>
      <c r="F42" s="141" t="s">
        <v>59</v>
      </c>
      <c r="G42" s="141" t="s">
        <v>60</v>
      </c>
      <c r="H42" s="141" t="s">
        <v>61</v>
      </c>
      <c r="I42" s="141" t="s">
        <v>62</v>
      </c>
      <c r="J42" s="141" t="s">
        <v>18</v>
      </c>
      <c r="K42" s="141" t="s">
        <v>63</v>
      </c>
    </row>
    <row r="43" spans="1:11" s="53" customFormat="1" ht="15.75" x14ac:dyDescent="0.25">
      <c r="B43" s="142">
        <f>C5</f>
        <v>44770</v>
      </c>
      <c r="C43" s="143">
        <f>C9</f>
        <v>276999</v>
      </c>
      <c r="D43" s="144">
        <f>E14</f>
        <v>9694.9650000000001</v>
      </c>
      <c r="E43" s="145">
        <f t="shared" ref="E43:E106" si="0">F43+H43+I43+J43+D43+G43</f>
        <v>11246.1594</v>
      </c>
      <c r="F43" s="146"/>
      <c r="G43" s="146"/>
      <c r="H43" s="146"/>
      <c r="I43" s="143"/>
      <c r="J43" s="146">
        <f t="shared" ref="J43:J106" si="1">SUM(D43+G43+H43+I43)*C$15</f>
        <v>1551.1944000000001</v>
      </c>
      <c r="K43" s="146">
        <f>C43</f>
        <v>276999</v>
      </c>
    </row>
    <row r="44" spans="1:11" s="53" customFormat="1" ht="15.75" x14ac:dyDescent="0.25">
      <c r="A44" s="147">
        <v>1</v>
      </c>
      <c r="B44" s="148">
        <f>VLOOKUP(B43,[1]FECHAS!B$1:C$65536,2,0)</f>
        <v>44805</v>
      </c>
      <c r="C44" s="149">
        <f t="shared" ref="C44:C107" si="2">C43-F43</f>
        <v>276999</v>
      </c>
      <c r="D44" s="150"/>
      <c r="E44" s="149">
        <f t="shared" si="0"/>
        <v>6232.4775</v>
      </c>
      <c r="F44" s="149">
        <f>F$18</f>
        <v>6232.4775</v>
      </c>
      <c r="G44" s="149"/>
      <c r="H44" s="149"/>
      <c r="I44" s="149"/>
      <c r="J44" s="149">
        <f t="shared" si="1"/>
        <v>0</v>
      </c>
      <c r="K44" s="149">
        <f t="shared" ref="K44:K107" si="3">K43-F44</f>
        <v>270766.52250000002</v>
      </c>
    </row>
    <row r="45" spans="1:11" s="53" customFormat="1" ht="15.75" x14ac:dyDescent="0.25">
      <c r="A45" s="147">
        <f>A44+1</f>
        <v>2</v>
      </c>
      <c r="B45" s="148">
        <f>VLOOKUP(B44,[1]FECHAS!B$1:C$65536,2,0)</f>
        <v>44835</v>
      </c>
      <c r="C45" s="149">
        <f t="shared" si="2"/>
        <v>270766.52250000002</v>
      </c>
      <c r="D45" s="150"/>
      <c r="E45" s="149">
        <f t="shared" si="0"/>
        <v>6232.4775</v>
      </c>
      <c r="F45" s="149">
        <f t="shared" ref="F45:F51" si="4">F$18</f>
        <v>6232.4775</v>
      </c>
      <c r="G45" s="149"/>
      <c r="H45" s="149"/>
      <c r="I45" s="149"/>
      <c r="J45" s="149">
        <f t="shared" si="1"/>
        <v>0</v>
      </c>
      <c r="K45" s="149">
        <f t="shared" si="3"/>
        <v>264534.04500000004</v>
      </c>
    </row>
    <row r="46" spans="1:11" s="53" customFormat="1" ht="15.75" x14ac:dyDescent="0.25">
      <c r="A46" s="147">
        <f t="shared" ref="A46:A109" si="5">A45+1</f>
        <v>3</v>
      </c>
      <c r="B46" s="148">
        <f>VLOOKUP(B45,[1]FECHAS!B$1:C$65536,2,0)</f>
        <v>44866</v>
      </c>
      <c r="C46" s="149">
        <f t="shared" si="2"/>
        <v>264534.04500000004</v>
      </c>
      <c r="D46" s="150"/>
      <c r="E46" s="149">
        <f t="shared" si="0"/>
        <v>6232.4775</v>
      </c>
      <c r="F46" s="149">
        <f t="shared" si="4"/>
        <v>6232.4775</v>
      </c>
      <c r="G46" s="149"/>
      <c r="H46" s="149"/>
      <c r="I46" s="149"/>
      <c r="J46" s="149">
        <f t="shared" si="1"/>
        <v>0</v>
      </c>
      <c r="K46" s="149">
        <f t="shared" si="3"/>
        <v>258301.56750000003</v>
      </c>
    </row>
    <row r="47" spans="1:11" s="53" customFormat="1" ht="15.75" x14ac:dyDescent="0.25">
      <c r="A47" s="147">
        <f t="shared" si="5"/>
        <v>4</v>
      </c>
      <c r="B47" s="148">
        <f>VLOOKUP(B46,[1]FECHAS!B$1:C$65536,2,0)</f>
        <v>44896</v>
      </c>
      <c r="C47" s="149">
        <f t="shared" si="2"/>
        <v>258301.56750000003</v>
      </c>
      <c r="D47" s="150"/>
      <c r="E47" s="149">
        <f t="shared" si="0"/>
        <v>6232.4775</v>
      </c>
      <c r="F47" s="149">
        <f t="shared" si="4"/>
        <v>6232.4775</v>
      </c>
      <c r="G47" s="149"/>
      <c r="H47" s="149"/>
      <c r="I47" s="149"/>
      <c r="J47" s="149">
        <f t="shared" si="1"/>
        <v>0</v>
      </c>
      <c r="K47" s="149">
        <f t="shared" si="3"/>
        <v>252069.09000000003</v>
      </c>
    </row>
    <row r="48" spans="1:11" s="53" customFormat="1" ht="15.75" x14ac:dyDescent="0.25">
      <c r="A48" s="147">
        <f t="shared" si="5"/>
        <v>5</v>
      </c>
      <c r="B48" s="148">
        <f>VLOOKUP(B47,[1]FECHAS!B$1:C$65536,2,0)</f>
        <v>44927</v>
      </c>
      <c r="C48" s="149">
        <f t="shared" si="2"/>
        <v>252069.09000000003</v>
      </c>
      <c r="D48" s="150"/>
      <c r="E48" s="149">
        <f t="shared" si="0"/>
        <v>6232.4775</v>
      </c>
      <c r="F48" s="149">
        <f t="shared" si="4"/>
        <v>6232.4775</v>
      </c>
      <c r="G48" s="149"/>
      <c r="H48" s="149"/>
      <c r="I48" s="149"/>
      <c r="J48" s="149">
        <f t="shared" si="1"/>
        <v>0</v>
      </c>
      <c r="K48" s="149">
        <f t="shared" si="3"/>
        <v>245836.61250000002</v>
      </c>
    </row>
    <row r="49" spans="1:12" s="53" customFormat="1" ht="15.75" x14ac:dyDescent="0.25">
      <c r="A49" s="147">
        <f t="shared" si="5"/>
        <v>6</v>
      </c>
      <c r="B49" s="148">
        <f>VLOOKUP(B48,[1]FECHAS!B$1:C$65536,2,0)</f>
        <v>44958</v>
      </c>
      <c r="C49" s="149">
        <f t="shared" si="2"/>
        <v>245836.61250000002</v>
      </c>
      <c r="D49" s="150"/>
      <c r="E49" s="149">
        <f t="shared" si="0"/>
        <v>6232.4775</v>
      </c>
      <c r="F49" s="149">
        <f t="shared" si="4"/>
        <v>6232.4775</v>
      </c>
      <c r="G49" s="149"/>
      <c r="H49" s="149"/>
      <c r="I49" s="149"/>
      <c r="J49" s="149">
        <f t="shared" si="1"/>
        <v>0</v>
      </c>
      <c r="K49" s="149">
        <f t="shared" si="3"/>
        <v>239604.13500000001</v>
      </c>
    </row>
    <row r="50" spans="1:12" s="53" customFormat="1" ht="15.75" x14ac:dyDescent="0.25">
      <c r="A50" s="147">
        <f t="shared" si="5"/>
        <v>7</v>
      </c>
      <c r="B50" s="148">
        <f>VLOOKUP(B49,[1]FECHAS!B$1:C$65536,2,0)</f>
        <v>44986</v>
      </c>
      <c r="C50" s="149">
        <f t="shared" si="2"/>
        <v>239604.13500000001</v>
      </c>
      <c r="D50" s="150"/>
      <c r="E50" s="149">
        <f t="shared" si="0"/>
        <v>6232.4775</v>
      </c>
      <c r="F50" s="149">
        <f t="shared" si="4"/>
        <v>6232.4775</v>
      </c>
      <c r="G50" s="149"/>
      <c r="H50" s="149"/>
      <c r="I50" s="149"/>
      <c r="J50" s="149">
        <f t="shared" si="1"/>
        <v>0</v>
      </c>
      <c r="K50" s="149">
        <f t="shared" si="3"/>
        <v>233371.6575</v>
      </c>
    </row>
    <row r="51" spans="1:12" s="53" customFormat="1" ht="15.75" x14ac:dyDescent="0.25">
      <c r="A51" s="147">
        <f t="shared" si="5"/>
        <v>8</v>
      </c>
      <c r="B51" s="148">
        <f>VLOOKUP(B50,[1]FECHAS!B$1:C$65536,2,0)</f>
        <v>45017</v>
      </c>
      <c r="C51" s="149">
        <f t="shared" si="2"/>
        <v>233371.6575</v>
      </c>
      <c r="D51" s="150"/>
      <c r="E51" s="149">
        <f t="shared" si="0"/>
        <v>6232.4775</v>
      </c>
      <c r="F51" s="149">
        <f t="shared" si="4"/>
        <v>6232.4775</v>
      </c>
      <c r="G51" s="149"/>
      <c r="H51" s="149"/>
      <c r="I51" s="149"/>
      <c r="J51" s="149">
        <f t="shared" si="1"/>
        <v>0</v>
      </c>
      <c r="K51" s="149">
        <f t="shared" si="3"/>
        <v>227139.18</v>
      </c>
    </row>
    <row r="52" spans="1:12" s="53" customFormat="1" ht="15.75" x14ac:dyDescent="0.25">
      <c r="A52" s="147">
        <f t="shared" si="5"/>
        <v>9</v>
      </c>
      <c r="B52" s="142">
        <f>VLOOKUP(B51,[2]Hoja1!F$1:G$65536,2,0)</f>
        <v>45047</v>
      </c>
      <c r="C52" s="143">
        <f t="shared" si="2"/>
        <v>227139.18</v>
      </c>
      <c r="D52" s="143"/>
      <c r="E52" s="143">
        <f t="shared" si="0"/>
        <v>6473.0511315000003</v>
      </c>
      <c r="F52" s="143">
        <f>G$19</f>
        <v>3549.0496874999999</v>
      </c>
      <c r="G52" s="143">
        <f>G$17</f>
        <v>2271.3917999999999</v>
      </c>
      <c r="H52" s="143"/>
      <c r="I52" s="144">
        <f>C9*C16</f>
        <v>249.29909999999998</v>
      </c>
      <c r="J52" s="146">
        <f t="shared" si="1"/>
        <v>403.31054399999999</v>
      </c>
      <c r="K52" s="143">
        <f t="shared" si="3"/>
        <v>223590.1303125</v>
      </c>
    </row>
    <row r="53" spans="1:12" s="53" customFormat="1" ht="15.75" x14ac:dyDescent="0.25">
      <c r="A53" s="147">
        <f t="shared" si="5"/>
        <v>10</v>
      </c>
      <c r="B53" s="142">
        <f>VLOOKUP(B52,[2]Hoja1!F$1:G$65536,2,0)</f>
        <v>45078</v>
      </c>
      <c r="C53" s="143">
        <f t="shared" si="2"/>
        <v>223590.1303125</v>
      </c>
      <c r="D53" s="151"/>
      <c r="E53" s="143">
        <f t="shared" si="0"/>
        <v>6473.0511315000003</v>
      </c>
      <c r="F53" s="143">
        <f t="shared" ref="F53:F115" si="6">G$19</f>
        <v>3549.0496874999999</v>
      </c>
      <c r="G53" s="143">
        <f t="shared" ref="G53:G115" si="7">G$17</f>
        <v>2271.3917999999999</v>
      </c>
      <c r="H53" s="143"/>
      <c r="I53" s="144">
        <f t="shared" ref="I53:I115" si="8">I52</f>
        <v>249.29909999999998</v>
      </c>
      <c r="J53" s="146">
        <f t="shared" si="1"/>
        <v>403.31054399999999</v>
      </c>
      <c r="K53" s="143">
        <f t="shared" si="3"/>
        <v>220041.080625</v>
      </c>
    </row>
    <row r="54" spans="1:12" s="53" customFormat="1" ht="15.75" x14ac:dyDescent="0.25">
      <c r="A54" s="147">
        <f t="shared" si="5"/>
        <v>11</v>
      </c>
      <c r="B54" s="142">
        <f>VLOOKUP(B53,[2]Hoja1!F$1:G$65536,2,0)</f>
        <v>45108</v>
      </c>
      <c r="C54" s="143">
        <f t="shared" si="2"/>
        <v>220041.080625</v>
      </c>
      <c r="D54" s="151"/>
      <c r="E54" s="143">
        <f t="shared" si="0"/>
        <v>6473.0511315000003</v>
      </c>
      <c r="F54" s="143">
        <f t="shared" si="6"/>
        <v>3549.0496874999999</v>
      </c>
      <c r="G54" s="143">
        <f t="shared" si="7"/>
        <v>2271.3917999999999</v>
      </c>
      <c r="H54" s="143"/>
      <c r="I54" s="144">
        <f t="shared" si="8"/>
        <v>249.29909999999998</v>
      </c>
      <c r="J54" s="146">
        <f t="shared" si="1"/>
        <v>403.31054399999999</v>
      </c>
      <c r="K54" s="143">
        <f t="shared" si="3"/>
        <v>216492.03093750001</v>
      </c>
      <c r="L54" s="152"/>
    </row>
    <row r="55" spans="1:12" s="53" customFormat="1" ht="15.75" x14ac:dyDescent="0.25">
      <c r="A55" s="147">
        <f t="shared" si="5"/>
        <v>12</v>
      </c>
      <c r="B55" s="142">
        <f>VLOOKUP(B54,[2]Hoja1!F$1:G$65536,2,0)</f>
        <v>45139</v>
      </c>
      <c r="C55" s="143">
        <f t="shared" si="2"/>
        <v>216492.03093750001</v>
      </c>
      <c r="D55" s="143"/>
      <c r="E55" s="143">
        <f t="shared" si="0"/>
        <v>6473.0511315000003</v>
      </c>
      <c r="F55" s="143">
        <f t="shared" si="6"/>
        <v>3549.0496874999999</v>
      </c>
      <c r="G55" s="143">
        <f t="shared" si="7"/>
        <v>2271.3917999999999</v>
      </c>
      <c r="H55" s="143"/>
      <c r="I55" s="144">
        <f t="shared" si="8"/>
        <v>249.29909999999998</v>
      </c>
      <c r="J55" s="146">
        <f t="shared" si="1"/>
        <v>403.31054399999999</v>
      </c>
      <c r="K55" s="143">
        <f t="shared" si="3"/>
        <v>212942.98125000001</v>
      </c>
    </row>
    <row r="56" spans="1:12" s="53" customFormat="1" ht="15.75" x14ac:dyDescent="0.25">
      <c r="A56" s="147">
        <f t="shared" si="5"/>
        <v>13</v>
      </c>
      <c r="B56" s="142">
        <f>VLOOKUP(B55,[2]Hoja1!F$1:G$65536,2,0)</f>
        <v>45170</v>
      </c>
      <c r="C56" s="143">
        <f t="shared" si="2"/>
        <v>212942.98125000001</v>
      </c>
      <c r="D56" s="143"/>
      <c r="E56" s="143">
        <f t="shared" si="0"/>
        <v>6473.0511315000003</v>
      </c>
      <c r="F56" s="143">
        <f t="shared" si="6"/>
        <v>3549.0496874999999</v>
      </c>
      <c r="G56" s="143">
        <f t="shared" si="7"/>
        <v>2271.3917999999999</v>
      </c>
      <c r="H56" s="143"/>
      <c r="I56" s="144">
        <f t="shared" si="8"/>
        <v>249.29909999999998</v>
      </c>
      <c r="J56" s="146">
        <f t="shared" si="1"/>
        <v>403.31054399999999</v>
      </c>
      <c r="K56" s="143">
        <f t="shared" si="3"/>
        <v>209393.93156250002</v>
      </c>
    </row>
    <row r="57" spans="1:12" s="53" customFormat="1" ht="15.75" x14ac:dyDescent="0.25">
      <c r="A57" s="147">
        <f t="shared" si="5"/>
        <v>14</v>
      </c>
      <c r="B57" s="142">
        <f>VLOOKUP(B56,[2]Hoja1!F$1:G$65536,2,0)</f>
        <v>45200</v>
      </c>
      <c r="C57" s="143">
        <f t="shared" si="2"/>
        <v>209393.93156250002</v>
      </c>
      <c r="D57" s="143"/>
      <c r="E57" s="143">
        <f t="shared" si="0"/>
        <v>6473.0511315000003</v>
      </c>
      <c r="F57" s="143">
        <f t="shared" si="6"/>
        <v>3549.0496874999999</v>
      </c>
      <c r="G57" s="143">
        <f t="shared" si="7"/>
        <v>2271.3917999999999</v>
      </c>
      <c r="H57" s="143"/>
      <c r="I57" s="144">
        <f t="shared" si="8"/>
        <v>249.29909999999998</v>
      </c>
      <c r="J57" s="146">
        <f t="shared" si="1"/>
        <v>403.31054399999999</v>
      </c>
      <c r="K57" s="143">
        <f t="shared" si="3"/>
        <v>205844.88187500002</v>
      </c>
    </row>
    <row r="58" spans="1:12" s="53" customFormat="1" ht="15.75" x14ac:dyDescent="0.25">
      <c r="A58" s="147">
        <f t="shared" si="5"/>
        <v>15</v>
      </c>
      <c r="B58" s="142">
        <f>VLOOKUP(B57,[2]Hoja1!F$1:G$65536,2,0)</f>
        <v>45231</v>
      </c>
      <c r="C58" s="143">
        <f t="shared" si="2"/>
        <v>205844.88187500002</v>
      </c>
      <c r="D58" s="143"/>
      <c r="E58" s="143">
        <f t="shared" si="0"/>
        <v>6473.0511315000003</v>
      </c>
      <c r="F58" s="143">
        <f t="shared" si="6"/>
        <v>3549.0496874999999</v>
      </c>
      <c r="G58" s="143">
        <f t="shared" si="7"/>
        <v>2271.3917999999999</v>
      </c>
      <c r="H58" s="143"/>
      <c r="I58" s="144">
        <f t="shared" si="8"/>
        <v>249.29909999999998</v>
      </c>
      <c r="J58" s="146">
        <f t="shared" si="1"/>
        <v>403.31054399999999</v>
      </c>
      <c r="K58" s="143">
        <f t="shared" si="3"/>
        <v>202295.83218750003</v>
      </c>
    </row>
    <row r="59" spans="1:12" s="53" customFormat="1" ht="15.75" x14ac:dyDescent="0.25">
      <c r="A59" s="147">
        <f t="shared" si="5"/>
        <v>16</v>
      </c>
      <c r="B59" s="142">
        <f>VLOOKUP(B58,[2]Hoja1!F$1:G$65536,2,0)</f>
        <v>45261</v>
      </c>
      <c r="C59" s="143">
        <f t="shared" si="2"/>
        <v>202295.83218750003</v>
      </c>
      <c r="D59" s="143"/>
      <c r="E59" s="143">
        <f t="shared" si="0"/>
        <v>6473.0511315000003</v>
      </c>
      <c r="F59" s="143">
        <f t="shared" si="6"/>
        <v>3549.0496874999999</v>
      </c>
      <c r="G59" s="143">
        <f t="shared" si="7"/>
        <v>2271.3917999999999</v>
      </c>
      <c r="H59" s="143"/>
      <c r="I59" s="144">
        <f t="shared" si="8"/>
        <v>249.29909999999998</v>
      </c>
      <c r="J59" s="146">
        <f t="shared" si="1"/>
        <v>403.31054399999999</v>
      </c>
      <c r="K59" s="143">
        <f t="shared" si="3"/>
        <v>198746.78250000003</v>
      </c>
    </row>
    <row r="60" spans="1:12" s="53" customFormat="1" ht="15.75" x14ac:dyDescent="0.25">
      <c r="A60" s="147">
        <f t="shared" si="5"/>
        <v>17</v>
      </c>
      <c r="B60" s="142">
        <f>VLOOKUP(B59,[2]Hoja1!F$1:G$65536,2,0)</f>
        <v>45292</v>
      </c>
      <c r="C60" s="143">
        <f t="shared" si="2"/>
        <v>198746.78250000003</v>
      </c>
      <c r="D60" s="143"/>
      <c r="E60" s="143">
        <f t="shared" si="0"/>
        <v>6473.0511315000003</v>
      </c>
      <c r="F60" s="143">
        <f t="shared" si="6"/>
        <v>3549.0496874999999</v>
      </c>
      <c r="G60" s="143">
        <f t="shared" si="7"/>
        <v>2271.3917999999999</v>
      </c>
      <c r="H60" s="143"/>
      <c r="I60" s="144">
        <f t="shared" si="8"/>
        <v>249.29909999999998</v>
      </c>
      <c r="J60" s="146">
        <f t="shared" si="1"/>
        <v>403.31054399999999</v>
      </c>
      <c r="K60" s="143">
        <f t="shared" si="3"/>
        <v>195197.73281250003</v>
      </c>
    </row>
    <row r="61" spans="1:12" s="53" customFormat="1" ht="15.75" x14ac:dyDescent="0.25">
      <c r="A61" s="147">
        <f t="shared" si="5"/>
        <v>18</v>
      </c>
      <c r="B61" s="142">
        <f>VLOOKUP(B60,[2]Hoja1!F$1:G$65536,2,0)</f>
        <v>45323</v>
      </c>
      <c r="C61" s="143">
        <f t="shared" si="2"/>
        <v>195197.73281250003</v>
      </c>
      <c r="D61" s="143"/>
      <c r="E61" s="143">
        <f t="shared" si="0"/>
        <v>6473.0511315000003</v>
      </c>
      <c r="F61" s="143">
        <f t="shared" si="6"/>
        <v>3549.0496874999999</v>
      </c>
      <c r="G61" s="143">
        <f t="shared" si="7"/>
        <v>2271.3917999999999</v>
      </c>
      <c r="H61" s="143"/>
      <c r="I61" s="144">
        <f t="shared" si="8"/>
        <v>249.29909999999998</v>
      </c>
      <c r="J61" s="146">
        <f t="shared" si="1"/>
        <v>403.31054399999999</v>
      </c>
      <c r="K61" s="143">
        <f t="shared" si="3"/>
        <v>191648.68312500004</v>
      </c>
    </row>
    <row r="62" spans="1:12" s="53" customFormat="1" ht="15.75" x14ac:dyDescent="0.25">
      <c r="A62" s="147">
        <f t="shared" si="5"/>
        <v>19</v>
      </c>
      <c r="B62" s="142">
        <f>VLOOKUP(B61,[2]Hoja1!F$1:G$65536,2,0)</f>
        <v>45352</v>
      </c>
      <c r="C62" s="143">
        <f t="shared" si="2"/>
        <v>191648.68312500004</v>
      </c>
      <c r="D62" s="143"/>
      <c r="E62" s="143">
        <f t="shared" si="0"/>
        <v>6473.0511315000003</v>
      </c>
      <c r="F62" s="143">
        <f t="shared" si="6"/>
        <v>3549.0496874999999</v>
      </c>
      <c r="G62" s="143">
        <f t="shared" si="7"/>
        <v>2271.3917999999999</v>
      </c>
      <c r="H62" s="143"/>
      <c r="I62" s="144">
        <f t="shared" si="8"/>
        <v>249.29909999999998</v>
      </c>
      <c r="J62" s="146">
        <f t="shared" si="1"/>
        <v>403.31054399999999</v>
      </c>
      <c r="K62" s="143">
        <f t="shared" si="3"/>
        <v>188099.63343750004</v>
      </c>
    </row>
    <row r="63" spans="1:12" s="53" customFormat="1" ht="15.75" x14ac:dyDescent="0.25">
      <c r="A63" s="147">
        <f t="shared" si="5"/>
        <v>20</v>
      </c>
      <c r="B63" s="142">
        <f>VLOOKUP(B62,[2]Hoja1!F$1:G$65536,2,0)</f>
        <v>45383</v>
      </c>
      <c r="C63" s="143">
        <f t="shared" si="2"/>
        <v>188099.63343750004</v>
      </c>
      <c r="D63" s="143"/>
      <c r="E63" s="143">
        <f t="shared" si="0"/>
        <v>6473.0511315000003</v>
      </c>
      <c r="F63" s="143">
        <f t="shared" si="6"/>
        <v>3549.0496874999999</v>
      </c>
      <c r="G63" s="143">
        <f t="shared" si="7"/>
        <v>2271.3917999999999</v>
      </c>
      <c r="H63" s="143"/>
      <c r="I63" s="144">
        <f t="shared" si="8"/>
        <v>249.29909999999998</v>
      </c>
      <c r="J63" s="146">
        <f t="shared" si="1"/>
        <v>403.31054399999999</v>
      </c>
      <c r="K63" s="143">
        <f t="shared" si="3"/>
        <v>184550.58375000005</v>
      </c>
    </row>
    <row r="64" spans="1:12" s="53" customFormat="1" ht="15.75" x14ac:dyDescent="0.25">
      <c r="A64" s="147">
        <f t="shared" si="5"/>
        <v>21</v>
      </c>
      <c r="B64" s="142">
        <f>VLOOKUP(B63,[2]Hoja1!F$1:G$65536,2,0)</f>
        <v>45413</v>
      </c>
      <c r="C64" s="143">
        <f t="shared" si="2"/>
        <v>184550.58375000005</v>
      </c>
      <c r="D64" s="143"/>
      <c r="E64" s="143">
        <f t="shared" si="0"/>
        <v>6473.0511315000003</v>
      </c>
      <c r="F64" s="143">
        <f t="shared" si="6"/>
        <v>3549.0496874999999</v>
      </c>
      <c r="G64" s="143">
        <f t="shared" si="7"/>
        <v>2271.3917999999999</v>
      </c>
      <c r="H64" s="143"/>
      <c r="I64" s="144">
        <f t="shared" si="8"/>
        <v>249.29909999999998</v>
      </c>
      <c r="J64" s="146">
        <f t="shared" si="1"/>
        <v>403.31054399999999</v>
      </c>
      <c r="K64" s="143">
        <f t="shared" si="3"/>
        <v>181001.53406250005</v>
      </c>
    </row>
    <row r="65" spans="1:11" s="53" customFormat="1" ht="15.75" x14ac:dyDescent="0.25">
      <c r="A65" s="147">
        <f t="shared" si="5"/>
        <v>22</v>
      </c>
      <c r="B65" s="142">
        <f>VLOOKUP(B64,[2]Hoja1!F$1:G$65536,2,0)</f>
        <v>45444</v>
      </c>
      <c r="C65" s="143">
        <f t="shared" si="2"/>
        <v>181001.53406250005</v>
      </c>
      <c r="D65" s="143"/>
      <c r="E65" s="143">
        <f t="shared" si="0"/>
        <v>6473.0511315000003</v>
      </c>
      <c r="F65" s="143">
        <f t="shared" si="6"/>
        <v>3549.0496874999999</v>
      </c>
      <c r="G65" s="143">
        <f t="shared" si="7"/>
        <v>2271.3917999999999</v>
      </c>
      <c r="H65" s="143"/>
      <c r="I65" s="144">
        <f t="shared" si="8"/>
        <v>249.29909999999998</v>
      </c>
      <c r="J65" s="146">
        <f t="shared" si="1"/>
        <v>403.31054399999999</v>
      </c>
      <c r="K65" s="143">
        <f t="shared" si="3"/>
        <v>177452.48437500006</v>
      </c>
    </row>
    <row r="66" spans="1:11" s="53" customFormat="1" ht="15.75" x14ac:dyDescent="0.25">
      <c r="A66" s="147">
        <f t="shared" si="5"/>
        <v>23</v>
      </c>
      <c r="B66" s="142">
        <f>VLOOKUP(B65,[2]Hoja1!F$1:G$65536,2,0)</f>
        <v>45474</v>
      </c>
      <c r="C66" s="143">
        <f t="shared" si="2"/>
        <v>177452.48437500006</v>
      </c>
      <c r="D66" s="143"/>
      <c r="E66" s="143">
        <f t="shared" si="0"/>
        <v>6473.0511315000003</v>
      </c>
      <c r="F66" s="143">
        <f t="shared" si="6"/>
        <v>3549.0496874999999</v>
      </c>
      <c r="G66" s="143">
        <f t="shared" si="7"/>
        <v>2271.3917999999999</v>
      </c>
      <c r="H66" s="143"/>
      <c r="I66" s="144">
        <f t="shared" si="8"/>
        <v>249.29909999999998</v>
      </c>
      <c r="J66" s="146">
        <f t="shared" si="1"/>
        <v>403.31054399999999</v>
      </c>
      <c r="K66" s="143">
        <f t="shared" si="3"/>
        <v>173903.43468750006</v>
      </c>
    </row>
    <row r="67" spans="1:11" s="53" customFormat="1" ht="15.75" x14ac:dyDescent="0.25">
      <c r="A67" s="147">
        <f t="shared" si="5"/>
        <v>24</v>
      </c>
      <c r="B67" s="142">
        <f>VLOOKUP(B66,[2]Hoja1!F$1:G$65536,2,0)</f>
        <v>45505</v>
      </c>
      <c r="C67" s="143">
        <f t="shared" si="2"/>
        <v>173903.43468750006</v>
      </c>
      <c r="D67" s="143"/>
      <c r="E67" s="143">
        <f t="shared" si="0"/>
        <v>6473.0511315000003</v>
      </c>
      <c r="F67" s="143">
        <f t="shared" si="6"/>
        <v>3549.0496874999999</v>
      </c>
      <c r="G67" s="143">
        <f t="shared" si="7"/>
        <v>2271.3917999999999</v>
      </c>
      <c r="H67" s="143"/>
      <c r="I67" s="144">
        <f t="shared" si="8"/>
        <v>249.29909999999998</v>
      </c>
      <c r="J67" s="146">
        <f t="shared" si="1"/>
        <v>403.31054399999999</v>
      </c>
      <c r="K67" s="143">
        <f t="shared" si="3"/>
        <v>170354.38500000007</v>
      </c>
    </row>
    <row r="68" spans="1:11" s="53" customFormat="1" ht="15.75" x14ac:dyDescent="0.25">
      <c r="A68" s="147">
        <f t="shared" si="5"/>
        <v>25</v>
      </c>
      <c r="B68" s="142">
        <f>VLOOKUP(B67,[2]Hoja1!F$1:G$65536,2,0)</f>
        <v>45536</v>
      </c>
      <c r="C68" s="143">
        <f t="shared" si="2"/>
        <v>170354.38500000007</v>
      </c>
      <c r="D68" s="143"/>
      <c r="E68" s="143">
        <f t="shared" si="0"/>
        <v>6473.0511315000003</v>
      </c>
      <c r="F68" s="143">
        <f t="shared" si="6"/>
        <v>3549.0496874999999</v>
      </c>
      <c r="G68" s="143">
        <f t="shared" si="7"/>
        <v>2271.3917999999999</v>
      </c>
      <c r="H68" s="143"/>
      <c r="I68" s="144">
        <f t="shared" si="8"/>
        <v>249.29909999999998</v>
      </c>
      <c r="J68" s="146">
        <f t="shared" si="1"/>
        <v>403.31054399999999</v>
      </c>
      <c r="K68" s="143">
        <f t="shared" si="3"/>
        <v>166805.33531250007</v>
      </c>
    </row>
    <row r="69" spans="1:11" s="53" customFormat="1" ht="15.75" x14ac:dyDescent="0.25">
      <c r="A69" s="147">
        <f t="shared" si="5"/>
        <v>26</v>
      </c>
      <c r="B69" s="142">
        <f>VLOOKUP(B68,[2]Hoja1!F$1:G$65536,2,0)</f>
        <v>45566</v>
      </c>
      <c r="C69" s="143">
        <f t="shared" si="2"/>
        <v>166805.33531250007</v>
      </c>
      <c r="D69" s="143"/>
      <c r="E69" s="143">
        <f t="shared" si="0"/>
        <v>6473.0511315000003</v>
      </c>
      <c r="F69" s="143">
        <f t="shared" si="6"/>
        <v>3549.0496874999999</v>
      </c>
      <c r="G69" s="143">
        <f t="shared" si="7"/>
        <v>2271.3917999999999</v>
      </c>
      <c r="H69" s="143"/>
      <c r="I69" s="144">
        <f t="shared" si="8"/>
        <v>249.29909999999998</v>
      </c>
      <c r="J69" s="146">
        <f t="shared" si="1"/>
        <v>403.31054399999999</v>
      </c>
      <c r="K69" s="143">
        <f t="shared" si="3"/>
        <v>163256.28562500008</v>
      </c>
    </row>
    <row r="70" spans="1:11" s="53" customFormat="1" ht="15.75" x14ac:dyDescent="0.25">
      <c r="A70" s="147">
        <f t="shared" si="5"/>
        <v>27</v>
      </c>
      <c r="B70" s="142">
        <f>VLOOKUP(B69,[2]Hoja1!F$1:G$65536,2,0)</f>
        <v>45597</v>
      </c>
      <c r="C70" s="143">
        <f t="shared" si="2"/>
        <v>163256.28562500008</v>
      </c>
      <c r="D70" s="143"/>
      <c r="E70" s="143">
        <f t="shared" si="0"/>
        <v>6473.0511315000003</v>
      </c>
      <c r="F70" s="143">
        <f t="shared" si="6"/>
        <v>3549.0496874999999</v>
      </c>
      <c r="G70" s="143">
        <f t="shared" si="7"/>
        <v>2271.3917999999999</v>
      </c>
      <c r="H70" s="143"/>
      <c r="I70" s="144">
        <f t="shared" si="8"/>
        <v>249.29909999999998</v>
      </c>
      <c r="J70" s="146">
        <f t="shared" si="1"/>
        <v>403.31054399999999</v>
      </c>
      <c r="K70" s="143">
        <f t="shared" si="3"/>
        <v>159707.23593750008</v>
      </c>
    </row>
    <row r="71" spans="1:11" s="53" customFormat="1" ht="15.75" x14ac:dyDescent="0.25">
      <c r="A71" s="147">
        <f t="shared" si="5"/>
        <v>28</v>
      </c>
      <c r="B71" s="142">
        <f>VLOOKUP(B70,[2]Hoja1!F$1:G$65536,2,0)</f>
        <v>45627</v>
      </c>
      <c r="C71" s="143">
        <f t="shared" si="2"/>
        <v>159707.23593750008</v>
      </c>
      <c r="D71" s="143"/>
      <c r="E71" s="143">
        <f t="shared" si="0"/>
        <v>6473.0511315000003</v>
      </c>
      <c r="F71" s="143">
        <f t="shared" si="6"/>
        <v>3549.0496874999999</v>
      </c>
      <c r="G71" s="143">
        <f t="shared" si="7"/>
        <v>2271.3917999999999</v>
      </c>
      <c r="H71" s="143"/>
      <c r="I71" s="144">
        <f t="shared" si="8"/>
        <v>249.29909999999998</v>
      </c>
      <c r="J71" s="146">
        <f t="shared" si="1"/>
        <v>403.31054399999999</v>
      </c>
      <c r="K71" s="143">
        <f t="shared" si="3"/>
        <v>156158.18625000009</v>
      </c>
    </row>
    <row r="72" spans="1:11" s="53" customFormat="1" ht="15.75" x14ac:dyDescent="0.25">
      <c r="A72" s="147">
        <f t="shared" si="5"/>
        <v>29</v>
      </c>
      <c r="B72" s="142">
        <f>VLOOKUP(B71,[2]Hoja1!F$1:G$65536,2,0)</f>
        <v>45658</v>
      </c>
      <c r="C72" s="143">
        <f t="shared" si="2"/>
        <v>156158.18625000009</v>
      </c>
      <c r="D72" s="143"/>
      <c r="E72" s="143">
        <f t="shared" si="0"/>
        <v>6473.0511315000003</v>
      </c>
      <c r="F72" s="143">
        <f t="shared" si="6"/>
        <v>3549.0496874999999</v>
      </c>
      <c r="G72" s="143">
        <f t="shared" si="7"/>
        <v>2271.3917999999999</v>
      </c>
      <c r="H72" s="143"/>
      <c r="I72" s="144">
        <f t="shared" si="8"/>
        <v>249.29909999999998</v>
      </c>
      <c r="J72" s="146">
        <f t="shared" si="1"/>
        <v>403.31054399999999</v>
      </c>
      <c r="K72" s="143">
        <f t="shared" si="3"/>
        <v>152609.13656250009</v>
      </c>
    </row>
    <row r="73" spans="1:11" s="53" customFormat="1" ht="15.75" x14ac:dyDescent="0.25">
      <c r="A73" s="147">
        <f t="shared" si="5"/>
        <v>30</v>
      </c>
      <c r="B73" s="142">
        <f>VLOOKUP(B72,[2]Hoja1!F$1:G$65536,2,0)</f>
        <v>45689</v>
      </c>
      <c r="C73" s="143">
        <f t="shared" si="2"/>
        <v>152609.13656250009</v>
      </c>
      <c r="D73" s="143"/>
      <c r="E73" s="143">
        <f t="shared" si="0"/>
        <v>6473.0511315000003</v>
      </c>
      <c r="F73" s="143">
        <f t="shared" si="6"/>
        <v>3549.0496874999999</v>
      </c>
      <c r="G73" s="143">
        <f t="shared" si="7"/>
        <v>2271.3917999999999</v>
      </c>
      <c r="H73" s="143"/>
      <c r="I73" s="144">
        <f t="shared" si="8"/>
        <v>249.29909999999998</v>
      </c>
      <c r="J73" s="146">
        <f t="shared" si="1"/>
        <v>403.31054399999999</v>
      </c>
      <c r="K73" s="143">
        <f t="shared" si="3"/>
        <v>149060.0868750001</v>
      </c>
    </row>
    <row r="74" spans="1:11" s="53" customFormat="1" ht="15.75" x14ac:dyDescent="0.25">
      <c r="A74" s="147">
        <f t="shared" si="5"/>
        <v>31</v>
      </c>
      <c r="B74" s="142">
        <f>VLOOKUP(B73,[2]Hoja1!F$1:G$65536,2,0)</f>
        <v>45717</v>
      </c>
      <c r="C74" s="143">
        <f t="shared" si="2"/>
        <v>149060.0868750001</v>
      </c>
      <c r="D74" s="143"/>
      <c r="E74" s="143">
        <f t="shared" si="0"/>
        <v>6473.0511315000003</v>
      </c>
      <c r="F74" s="143">
        <f t="shared" si="6"/>
        <v>3549.0496874999999</v>
      </c>
      <c r="G74" s="143">
        <f t="shared" si="7"/>
        <v>2271.3917999999999</v>
      </c>
      <c r="H74" s="143"/>
      <c r="I74" s="144">
        <f t="shared" si="8"/>
        <v>249.29909999999998</v>
      </c>
      <c r="J74" s="146">
        <f t="shared" si="1"/>
        <v>403.31054399999999</v>
      </c>
      <c r="K74" s="143">
        <f t="shared" si="3"/>
        <v>145511.0371875001</v>
      </c>
    </row>
    <row r="75" spans="1:11" s="53" customFormat="1" ht="15.75" x14ac:dyDescent="0.25">
      <c r="A75" s="147">
        <f t="shared" si="5"/>
        <v>32</v>
      </c>
      <c r="B75" s="142">
        <f>VLOOKUP(B74,[2]Hoja1!F$1:G$65536,2,0)</f>
        <v>45748</v>
      </c>
      <c r="C75" s="143">
        <f t="shared" si="2"/>
        <v>145511.0371875001</v>
      </c>
      <c r="D75" s="143"/>
      <c r="E75" s="143">
        <f t="shared" si="0"/>
        <v>6473.0511315000003</v>
      </c>
      <c r="F75" s="143">
        <f t="shared" si="6"/>
        <v>3549.0496874999999</v>
      </c>
      <c r="G75" s="143">
        <f t="shared" si="7"/>
        <v>2271.3917999999999</v>
      </c>
      <c r="H75" s="143"/>
      <c r="I75" s="144">
        <f t="shared" si="8"/>
        <v>249.29909999999998</v>
      </c>
      <c r="J75" s="146">
        <f t="shared" si="1"/>
        <v>403.31054399999999</v>
      </c>
      <c r="K75" s="143">
        <f t="shared" si="3"/>
        <v>141961.9875000001</v>
      </c>
    </row>
    <row r="76" spans="1:11" s="53" customFormat="1" ht="15.75" x14ac:dyDescent="0.25">
      <c r="A76" s="147">
        <f t="shared" si="5"/>
        <v>33</v>
      </c>
      <c r="B76" s="142">
        <f>VLOOKUP(B75,[2]Hoja1!F$1:G$65536,2,0)</f>
        <v>45778</v>
      </c>
      <c r="C76" s="143">
        <f t="shared" si="2"/>
        <v>141961.9875000001</v>
      </c>
      <c r="D76" s="143"/>
      <c r="E76" s="143">
        <f t="shared" si="0"/>
        <v>6473.0511315000003</v>
      </c>
      <c r="F76" s="143">
        <f t="shared" si="6"/>
        <v>3549.0496874999999</v>
      </c>
      <c r="G76" s="143">
        <f t="shared" si="7"/>
        <v>2271.3917999999999</v>
      </c>
      <c r="H76" s="143"/>
      <c r="I76" s="144">
        <f t="shared" si="8"/>
        <v>249.29909999999998</v>
      </c>
      <c r="J76" s="146">
        <f t="shared" si="1"/>
        <v>403.31054399999999</v>
      </c>
      <c r="K76" s="143">
        <f t="shared" si="3"/>
        <v>138412.93781250011</v>
      </c>
    </row>
    <row r="77" spans="1:11" s="53" customFormat="1" ht="15.75" x14ac:dyDescent="0.25">
      <c r="A77" s="147">
        <f t="shared" si="5"/>
        <v>34</v>
      </c>
      <c r="B77" s="142">
        <f>VLOOKUP(B76,[2]Hoja1!F$1:G$65536,2,0)</f>
        <v>45809</v>
      </c>
      <c r="C77" s="143">
        <f t="shared" si="2"/>
        <v>138412.93781250011</v>
      </c>
      <c r="D77" s="143"/>
      <c r="E77" s="143">
        <f t="shared" si="0"/>
        <v>6473.0511315000003</v>
      </c>
      <c r="F77" s="143">
        <f t="shared" si="6"/>
        <v>3549.0496874999999</v>
      </c>
      <c r="G77" s="143">
        <f t="shared" si="7"/>
        <v>2271.3917999999999</v>
      </c>
      <c r="H77" s="143"/>
      <c r="I77" s="144">
        <f t="shared" si="8"/>
        <v>249.29909999999998</v>
      </c>
      <c r="J77" s="146">
        <f t="shared" si="1"/>
        <v>403.31054399999999</v>
      </c>
      <c r="K77" s="143">
        <f t="shared" si="3"/>
        <v>134863.88812500011</v>
      </c>
    </row>
    <row r="78" spans="1:11" s="53" customFormat="1" ht="15.75" x14ac:dyDescent="0.25">
      <c r="A78" s="147">
        <f t="shared" si="5"/>
        <v>35</v>
      </c>
      <c r="B78" s="142">
        <f>VLOOKUP(B77,[2]Hoja1!F$1:G$65536,2,0)</f>
        <v>45839</v>
      </c>
      <c r="C78" s="143">
        <f t="shared" si="2"/>
        <v>134863.88812500011</v>
      </c>
      <c r="D78" s="143"/>
      <c r="E78" s="143">
        <f t="shared" si="0"/>
        <v>6473.0511315000003</v>
      </c>
      <c r="F78" s="143">
        <f t="shared" si="6"/>
        <v>3549.0496874999999</v>
      </c>
      <c r="G78" s="143">
        <f t="shared" si="7"/>
        <v>2271.3917999999999</v>
      </c>
      <c r="H78" s="143"/>
      <c r="I78" s="144">
        <f t="shared" si="8"/>
        <v>249.29909999999998</v>
      </c>
      <c r="J78" s="146">
        <f t="shared" si="1"/>
        <v>403.31054399999999</v>
      </c>
      <c r="K78" s="143">
        <f t="shared" si="3"/>
        <v>131314.83843750012</v>
      </c>
    </row>
    <row r="79" spans="1:11" s="53" customFormat="1" ht="15.75" x14ac:dyDescent="0.25">
      <c r="A79" s="147">
        <f t="shared" si="5"/>
        <v>36</v>
      </c>
      <c r="B79" s="142">
        <f>VLOOKUP(B78,[2]Hoja1!F$1:G$65536,2,0)</f>
        <v>45870</v>
      </c>
      <c r="C79" s="143">
        <f t="shared" si="2"/>
        <v>131314.83843750012</v>
      </c>
      <c r="D79" s="143"/>
      <c r="E79" s="143">
        <f t="shared" si="0"/>
        <v>6473.0511315000003</v>
      </c>
      <c r="F79" s="143">
        <f t="shared" si="6"/>
        <v>3549.0496874999999</v>
      </c>
      <c r="G79" s="143">
        <f t="shared" si="7"/>
        <v>2271.3917999999999</v>
      </c>
      <c r="H79" s="143"/>
      <c r="I79" s="144">
        <f t="shared" si="8"/>
        <v>249.29909999999998</v>
      </c>
      <c r="J79" s="146">
        <f t="shared" si="1"/>
        <v>403.31054399999999</v>
      </c>
      <c r="K79" s="143">
        <f t="shared" si="3"/>
        <v>127765.78875000012</v>
      </c>
    </row>
    <row r="80" spans="1:11" s="53" customFormat="1" ht="15.75" x14ac:dyDescent="0.25">
      <c r="A80" s="147">
        <f t="shared" si="5"/>
        <v>37</v>
      </c>
      <c r="B80" s="142">
        <f>VLOOKUP(B79,[2]Hoja1!F$1:G$65536,2,0)</f>
        <v>45901</v>
      </c>
      <c r="C80" s="143">
        <f t="shared" si="2"/>
        <v>127765.78875000012</v>
      </c>
      <c r="D80" s="143"/>
      <c r="E80" s="143">
        <f t="shared" si="0"/>
        <v>6473.0511315000003</v>
      </c>
      <c r="F80" s="143">
        <f t="shared" si="6"/>
        <v>3549.0496874999999</v>
      </c>
      <c r="G80" s="143">
        <f t="shared" si="7"/>
        <v>2271.3917999999999</v>
      </c>
      <c r="H80" s="143"/>
      <c r="I80" s="144">
        <f t="shared" si="8"/>
        <v>249.29909999999998</v>
      </c>
      <c r="J80" s="146">
        <f t="shared" si="1"/>
        <v>403.31054399999999</v>
      </c>
      <c r="K80" s="143">
        <f t="shared" si="3"/>
        <v>124216.73906250013</v>
      </c>
    </row>
    <row r="81" spans="1:11" s="53" customFormat="1" ht="15.75" x14ac:dyDescent="0.25">
      <c r="A81" s="147">
        <f t="shared" si="5"/>
        <v>38</v>
      </c>
      <c r="B81" s="142">
        <f>VLOOKUP(B80,[2]Hoja1!F$1:G$65536,2,0)</f>
        <v>45931</v>
      </c>
      <c r="C81" s="143">
        <f t="shared" si="2"/>
        <v>124216.73906250013</v>
      </c>
      <c r="D81" s="143"/>
      <c r="E81" s="143">
        <f t="shared" si="0"/>
        <v>6473.0511315000003</v>
      </c>
      <c r="F81" s="143">
        <f t="shared" si="6"/>
        <v>3549.0496874999999</v>
      </c>
      <c r="G81" s="143">
        <f t="shared" si="7"/>
        <v>2271.3917999999999</v>
      </c>
      <c r="H81" s="143"/>
      <c r="I81" s="144">
        <f t="shared" si="8"/>
        <v>249.29909999999998</v>
      </c>
      <c r="J81" s="146">
        <f t="shared" si="1"/>
        <v>403.31054399999999</v>
      </c>
      <c r="K81" s="143">
        <f t="shared" si="3"/>
        <v>120667.68937500013</v>
      </c>
    </row>
    <row r="82" spans="1:11" s="53" customFormat="1" ht="15.75" x14ac:dyDescent="0.25">
      <c r="A82" s="147">
        <f t="shared" si="5"/>
        <v>39</v>
      </c>
      <c r="B82" s="142">
        <f>VLOOKUP(B81,[2]Hoja1!F$1:G$65536,2,0)</f>
        <v>45962</v>
      </c>
      <c r="C82" s="143">
        <f t="shared" si="2"/>
        <v>120667.68937500013</v>
      </c>
      <c r="D82" s="143"/>
      <c r="E82" s="143">
        <f t="shared" si="0"/>
        <v>6473.0511315000003</v>
      </c>
      <c r="F82" s="143">
        <f t="shared" si="6"/>
        <v>3549.0496874999999</v>
      </c>
      <c r="G82" s="143">
        <f t="shared" si="7"/>
        <v>2271.3917999999999</v>
      </c>
      <c r="H82" s="143"/>
      <c r="I82" s="144">
        <f t="shared" si="8"/>
        <v>249.29909999999998</v>
      </c>
      <c r="J82" s="146">
        <f t="shared" si="1"/>
        <v>403.31054399999999</v>
      </c>
      <c r="K82" s="143">
        <f t="shared" si="3"/>
        <v>117118.63968750014</v>
      </c>
    </row>
    <row r="83" spans="1:11" s="53" customFormat="1" ht="15.75" x14ac:dyDescent="0.25">
      <c r="A83" s="147">
        <f t="shared" si="5"/>
        <v>40</v>
      </c>
      <c r="B83" s="142">
        <f>VLOOKUP(B82,[2]Hoja1!F$1:G$65536,2,0)</f>
        <v>45992</v>
      </c>
      <c r="C83" s="143">
        <f t="shared" si="2"/>
        <v>117118.63968750014</v>
      </c>
      <c r="D83" s="143"/>
      <c r="E83" s="143">
        <f t="shared" si="0"/>
        <v>6473.0511315000003</v>
      </c>
      <c r="F83" s="143">
        <f t="shared" si="6"/>
        <v>3549.0496874999999</v>
      </c>
      <c r="G83" s="143">
        <f t="shared" si="7"/>
        <v>2271.3917999999999</v>
      </c>
      <c r="H83" s="143"/>
      <c r="I83" s="144">
        <f t="shared" si="8"/>
        <v>249.29909999999998</v>
      </c>
      <c r="J83" s="146">
        <f t="shared" si="1"/>
        <v>403.31054399999999</v>
      </c>
      <c r="K83" s="143">
        <f t="shared" si="3"/>
        <v>113569.59000000014</v>
      </c>
    </row>
    <row r="84" spans="1:11" s="53" customFormat="1" ht="15.75" x14ac:dyDescent="0.25">
      <c r="A84" s="147">
        <f t="shared" si="5"/>
        <v>41</v>
      </c>
      <c r="B84" s="142">
        <f>VLOOKUP(B83,[2]Hoja1!F$1:G$65536,2,0)</f>
        <v>46023</v>
      </c>
      <c r="C84" s="143">
        <f t="shared" si="2"/>
        <v>113569.59000000014</v>
      </c>
      <c r="D84" s="143"/>
      <c r="E84" s="143">
        <f t="shared" si="0"/>
        <v>6473.0511315000003</v>
      </c>
      <c r="F84" s="143">
        <f t="shared" si="6"/>
        <v>3549.0496874999999</v>
      </c>
      <c r="G84" s="143">
        <f t="shared" si="7"/>
        <v>2271.3917999999999</v>
      </c>
      <c r="H84" s="143"/>
      <c r="I84" s="144">
        <f t="shared" si="8"/>
        <v>249.29909999999998</v>
      </c>
      <c r="J84" s="146">
        <f t="shared" si="1"/>
        <v>403.31054399999999</v>
      </c>
      <c r="K84" s="143">
        <f t="shared" si="3"/>
        <v>110020.54031250015</v>
      </c>
    </row>
    <row r="85" spans="1:11" s="53" customFormat="1" ht="15.75" x14ac:dyDescent="0.25">
      <c r="A85" s="147">
        <f t="shared" si="5"/>
        <v>42</v>
      </c>
      <c r="B85" s="142">
        <f>VLOOKUP(B84,[2]Hoja1!F$1:G$65536,2,0)</f>
        <v>46054</v>
      </c>
      <c r="C85" s="143">
        <f t="shared" si="2"/>
        <v>110020.54031250015</v>
      </c>
      <c r="D85" s="143"/>
      <c r="E85" s="143">
        <f t="shared" si="0"/>
        <v>6473.0511315000003</v>
      </c>
      <c r="F85" s="143">
        <f t="shared" si="6"/>
        <v>3549.0496874999999</v>
      </c>
      <c r="G85" s="143">
        <f t="shared" si="7"/>
        <v>2271.3917999999999</v>
      </c>
      <c r="H85" s="143"/>
      <c r="I85" s="144">
        <f t="shared" si="8"/>
        <v>249.29909999999998</v>
      </c>
      <c r="J85" s="146">
        <f t="shared" si="1"/>
        <v>403.31054399999999</v>
      </c>
      <c r="K85" s="143">
        <f t="shared" si="3"/>
        <v>106471.49062500015</v>
      </c>
    </row>
    <row r="86" spans="1:11" s="53" customFormat="1" ht="15.75" x14ac:dyDescent="0.25">
      <c r="A86" s="147">
        <f t="shared" si="5"/>
        <v>43</v>
      </c>
      <c r="B86" s="142">
        <f>VLOOKUP(B85,[2]Hoja1!F$1:G$65536,2,0)</f>
        <v>46082</v>
      </c>
      <c r="C86" s="143">
        <f t="shared" si="2"/>
        <v>106471.49062500015</v>
      </c>
      <c r="D86" s="143"/>
      <c r="E86" s="143">
        <f t="shared" si="0"/>
        <v>6473.0511315000003</v>
      </c>
      <c r="F86" s="143">
        <f t="shared" si="6"/>
        <v>3549.0496874999999</v>
      </c>
      <c r="G86" s="143">
        <f t="shared" si="7"/>
        <v>2271.3917999999999</v>
      </c>
      <c r="H86" s="143"/>
      <c r="I86" s="144">
        <f t="shared" si="8"/>
        <v>249.29909999999998</v>
      </c>
      <c r="J86" s="146">
        <f t="shared" si="1"/>
        <v>403.31054399999999</v>
      </c>
      <c r="K86" s="143">
        <f t="shared" si="3"/>
        <v>102922.44093750016</v>
      </c>
    </row>
    <row r="87" spans="1:11" s="53" customFormat="1" ht="15.75" x14ac:dyDescent="0.25">
      <c r="A87" s="147">
        <f t="shared" si="5"/>
        <v>44</v>
      </c>
      <c r="B87" s="142">
        <f>VLOOKUP(B86,[2]Hoja1!F$1:G$65536,2,0)</f>
        <v>46113</v>
      </c>
      <c r="C87" s="143">
        <f t="shared" si="2"/>
        <v>102922.44093750016</v>
      </c>
      <c r="D87" s="143"/>
      <c r="E87" s="143">
        <f t="shared" si="0"/>
        <v>6473.0511315000003</v>
      </c>
      <c r="F87" s="143">
        <f t="shared" si="6"/>
        <v>3549.0496874999999</v>
      </c>
      <c r="G87" s="143">
        <f t="shared" si="7"/>
        <v>2271.3917999999999</v>
      </c>
      <c r="H87" s="143"/>
      <c r="I87" s="144">
        <f t="shared" si="8"/>
        <v>249.29909999999998</v>
      </c>
      <c r="J87" s="146">
        <f t="shared" si="1"/>
        <v>403.31054399999999</v>
      </c>
      <c r="K87" s="143">
        <f t="shared" si="3"/>
        <v>99373.391250000161</v>
      </c>
    </row>
    <row r="88" spans="1:11" s="53" customFormat="1" ht="15.75" x14ac:dyDescent="0.25">
      <c r="A88" s="147">
        <f t="shared" si="5"/>
        <v>45</v>
      </c>
      <c r="B88" s="142">
        <f>VLOOKUP(B87,[2]Hoja1!F$1:G$65536,2,0)</f>
        <v>46143</v>
      </c>
      <c r="C88" s="143">
        <f t="shared" si="2"/>
        <v>99373.391250000161</v>
      </c>
      <c r="D88" s="143"/>
      <c r="E88" s="143">
        <f t="shared" si="0"/>
        <v>6473.0511315000003</v>
      </c>
      <c r="F88" s="143">
        <f t="shared" si="6"/>
        <v>3549.0496874999999</v>
      </c>
      <c r="G88" s="143">
        <f t="shared" si="7"/>
        <v>2271.3917999999999</v>
      </c>
      <c r="H88" s="143"/>
      <c r="I88" s="144">
        <f t="shared" si="8"/>
        <v>249.29909999999998</v>
      </c>
      <c r="J88" s="146">
        <f t="shared" si="1"/>
        <v>403.31054399999999</v>
      </c>
      <c r="K88" s="143">
        <f t="shared" si="3"/>
        <v>95824.341562500165</v>
      </c>
    </row>
    <row r="89" spans="1:11" s="53" customFormat="1" ht="15.75" x14ac:dyDescent="0.25">
      <c r="A89" s="147">
        <f t="shared" si="5"/>
        <v>46</v>
      </c>
      <c r="B89" s="142">
        <f>VLOOKUP(B88,[2]Hoja1!F$1:G$65536,2,0)</f>
        <v>46174</v>
      </c>
      <c r="C89" s="143">
        <f t="shared" si="2"/>
        <v>95824.341562500165</v>
      </c>
      <c r="D89" s="143"/>
      <c r="E89" s="143">
        <f t="shared" si="0"/>
        <v>6473.0511315000003</v>
      </c>
      <c r="F89" s="143">
        <f t="shared" si="6"/>
        <v>3549.0496874999999</v>
      </c>
      <c r="G89" s="143">
        <f t="shared" si="7"/>
        <v>2271.3917999999999</v>
      </c>
      <c r="H89" s="143"/>
      <c r="I89" s="144">
        <f t="shared" si="8"/>
        <v>249.29909999999998</v>
      </c>
      <c r="J89" s="146">
        <f t="shared" si="1"/>
        <v>403.31054399999999</v>
      </c>
      <c r="K89" s="143">
        <f t="shared" si="3"/>
        <v>92275.29187500017</v>
      </c>
    </row>
    <row r="90" spans="1:11" s="53" customFormat="1" ht="15.75" x14ac:dyDescent="0.25">
      <c r="A90" s="147">
        <f t="shared" si="5"/>
        <v>47</v>
      </c>
      <c r="B90" s="142">
        <f>VLOOKUP(B89,[2]Hoja1!F$1:G$65536,2,0)</f>
        <v>46204</v>
      </c>
      <c r="C90" s="143">
        <f t="shared" si="2"/>
        <v>92275.29187500017</v>
      </c>
      <c r="D90" s="143"/>
      <c r="E90" s="143">
        <f t="shared" si="0"/>
        <v>6473.0511315000003</v>
      </c>
      <c r="F90" s="143">
        <f t="shared" si="6"/>
        <v>3549.0496874999999</v>
      </c>
      <c r="G90" s="143">
        <f t="shared" si="7"/>
        <v>2271.3917999999999</v>
      </c>
      <c r="H90" s="143"/>
      <c r="I90" s="144">
        <f t="shared" si="8"/>
        <v>249.29909999999998</v>
      </c>
      <c r="J90" s="146">
        <f t="shared" si="1"/>
        <v>403.31054399999999</v>
      </c>
      <c r="K90" s="143">
        <f t="shared" si="3"/>
        <v>88726.242187500175</v>
      </c>
    </row>
    <row r="91" spans="1:11" s="53" customFormat="1" ht="15.75" x14ac:dyDescent="0.25">
      <c r="A91" s="147">
        <f t="shared" si="5"/>
        <v>48</v>
      </c>
      <c r="B91" s="142">
        <f>VLOOKUP(B90,[2]Hoja1!F$1:G$65536,2,0)</f>
        <v>46235</v>
      </c>
      <c r="C91" s="143">
        <f t="shared" si="2"/>
        <v>88726.242187500175</v>
      </c>
      <c r="D91" s="143"/>
      <c r="E91" s="143">
        <f t="shared" si="0"/>
        <v>6473.0511315000003</v>
      </c>
      <c r="F91" s="143">
        <f t="shared" si="6"/>
        <v>3549.0496874999999</v>
      </c>
      <c r="G91" s="143">
        <f t="shared" si="7"/>
        <v>2271.3917999999999</v>
      </c>
      <c r="H91" s="143"/>
      <c r="I91" s="144">
        <f t="shared" si="8"/>
        <v>249.29909999999998</v>
      </c>
      <c r="J91" s="146">
        <f t="shared" si="1"/>
        <v>403.31054399999999</v>
      </c>
      <c r="K91" s="143">
        <f t="shared" si="3"/>
        <v>85177.192500000179</v>
      </c>
    </row>
    <row r="92" spans="1:11" s="53" customFormat="1" ht="15.75" x14ac:dyDescent="0.25">
      <c r="A92" s="147">
        <f t="shared" si="5"/>
        <v>49</v>
      </c>
      <c r="B92" s="142">
        <f>VLOOKUP(B91,[2]Hoja1!F$1:G$65536,2,0)</f>
        <v>46266</v>
      </c>
      <c r="C92" s="143">
        <f t="shared" si="2"/>
        <v>85177.192500000179</v>
      </c>
      <c r="D92" s="143"/>
      <c r="E92" s="143">
        <f t="shared" si="0"/>
        <v>6473.0511315000003</v>
      </c>
      <c r="F92" s="143">
        <f t="shared" si="6"/>
        <v>3549.0496874999999</v>
      </c>
      <c r="G92" s="143">
        <f t="shared" si="7"/>
        <v>2271.3917999999999</v>
      </c>
      <c r="H92" s="143"/>
      <c r="I92" s="144">
        <f t="shared" si="8"/>
        <v>249.29909999999998</v>
      </c>
      <c r="J92" s="146">
        <f t="shared" si="1"/>
        <v>403.31054399999999</v>
      </c>
      <c r="K92" s="143">
        <f t="shared" si="3"/>
        <v>81628.142812500184</v>
      </c>
    </row>
    <row r="93" spans="1:11" s="53" customFormat="1" ht="15.75" x14ac:dyDescent="0.25">
      <c r="A93" s="147">
        <f t="shared" si="5"/>
        <v>50</v>
      </c>
      <c r="B93" s="142">
        <f>VLOOKUP(B92,[2]Hoja1!F$1:G$65536,2,0)</f>
        <v>46296</v>
      </c>
      <c r="C93" s="143">
        <f t="shared" si="2"/>
        <v>81628.142812500184</v>
      </c>
      <c r="D93" s="143"/>
      <c r="E93" s="143">
        <f t="shared" si="0"/>
        <v>6473.0511315000003</v>
      </c>
      <c r="F93" s="143">
        <f t="shared" si="6"/>
        <v>3549.0496874999999</v>
      </c>
      <c r="G93" s="143">
        <f t="shared" si="7"/>
        <v>2271.3917999999999</v>
      </c>
      <c r="H93" s="143"/>
      <c r="I93" s="144">
        <f t="shared" si="8"/>
        <v>249.29909999999998</v>
      </c>
      <c r="J93" s="146">
        <f t="shared" si="1"/>
        <v>403.31054399999999</v>
      </c>
      <c r="K93" s="143">
        <f t="shared" si="3"/>
        <v>78079.093125000189</v>
      </c>
    </row>
    <row r="94" spans="1:11" s="53" customFormat="1" ht="15.75" x14ac:dyDescent="0.25">
      <c r="A94" s="147">
        <f t="shared" si="5"/>
        <v>51</v>
      </c>
      <c r="B94" s="142">
        <f>VLOOKUP(B93,[2]Hoja1!F$1:G$65536,2,0)</f>
        <v>46327</v>
      </c>
      <c r="C94" s="143">
        <f t="shared" si="2"/>
        <v>78079.093125000189</v>
      </c>
      <c r="D94" s="143"/>
      <c r="E94" s="143">
        <f t="shared" si="0"/>
        <v>6473.0511315000003</v>
      </c>
      <c r="F94" s="143">
        <f t="shared" si="6"/>
        <v>3549.0496874999999</v>
      </c>
      <c r="G94" s="143">
        <f t="shared" si="7"/>
        <v>2271.3917999999999</v>
      </c>
      <c r="H94" s="143"/>
      <c r="I94" s="144">
        <f t="shared" si="8"/>
        <v>249.29909999999998</v>
      </c>
      <c r="J94" s="146">
        <f t="shared" si="1"/>
        <v>403.31054399999999</v>
      </c>
      <c r="K94" s="143">
        <f t="shared" si="3"/>
        <v>74530.043437500193</v>
      </c>
    </row>
    <row r="95" spans="1:11" s="53" customFormat="1" ht="15.75" x14ac:dyDescent="0.25">
      <c r="A95" s="147">
        <f t="shared" si="5"/>
        <v>52</v>
      </c>
      <c r="B95" s="142">
        <f>VLOOKUP(B94,[2]Hoja1!F$1:G$65536,2,0)</f>
        <v>46357</v>
      </c>
      <c r="C95" s="143">
        <f t="shared" si="2"/>
        <v>74530.043437500193</v>
      </c>
      <c r="D95" s="143"/>
      <c r="E95" s="143">
        <f t="shared" si="0"/>
        <v>6473.0511315000003</v>
      </c>
      <c r="F95" s="143">
        <f t="shared" si="6"/>
        <v>3549.0496874999999</v>
      </c>
      <c r="G95" s="143">
        <f t="shared" si="7"/>
        <v>2271.3917999999999</v>
      </c>
      <c r="H95" s="143"/>
      <c r="I95" s="144">
        <f t="shared" si="8"/>
        <v>249.29909999999998</v>
      </c>
      <c r="J95" s="146">
        <f t="shared" si="1"/>
        <v>403.31054399999999</v>
      </c>
      <c r="K95" s="143">
        <f t="shared" si="3"/>
        <v>70980.993750000198</v>
      </c>
    </row>
    <row r="96" spans="1:11" s="53" customFormat="1" ht="15.75" x14ac:dyDescent="0.25">
      <c r="A96" s="147">
        <f t="shared" si="5"/>
        <v>53</v>
      </c>
      <c r="B96" s="142">
        <f>VLOOKUP(B95,[2]Hoja1!F$1:G$65536,2,0)</f>
        <v>46388</v>
      </c>
      <c r="C96" s="143">
        <f t="shared" si="2"/>
        <v>70980.993750000198</v>
      </c>
      <c r="D96" s="143"/>
      <c r="E96" s="143">
        <f t="shared" si="0"/>
        <v>6473.0511315000003</v>
      </c>
      <c r="F96" s="143">
        <f t="shared" si="6"/>
        <v>3549.0496874999999</v>
      </c>
      <c r="G96" s="143">
        <f t="shared" si="7"/>
        <v>2271.3917999999999</v>
      </c>
      <c r="H96" s="143"/>
      <c r="I96" s="144">
        <f t="shared" si="8"/>
        <v>249.29909999999998</v>
      </c>
      <c r="J96" s="146">
        <f t="shared" si="1"/>
        <v>403.31054399999999</v>
      </c>
      <c r="K96" s="143">
        <f t="shared" si="3"/>
        <v>67431.944062500203</v>
      </c>
    </row>
    <row r="97" spans="1:11" s="53" customFormat="1" ht="15.75" x14ac:dyDescent="0.25">
      <c r="A97" s="147">
        <f t="shared" si="5"/>
        <v>54</v>
      </c>
      <c r="B97" s="142">
        <f>VLOOKUP(B96,[2]Hoja1!F$1:G$65536,2,0)</f>
        <v>46419</v>
      </c>
      <c r="C97" s="143">
        <f t="shared" si="2"/>
        <v>67431.944062500203</v>
      </c>
      <c r="D97" s="143"/>
      <c r="E97" s="143">
        <f t="shared" si="0"/>
        <v>6473.0511315000003</v>
      </c>
      <c r="F97" s="143">
        <f t="shared" si="6"/>
        <v>3549.0496874999999</v>
      </c>
      <c r="G97" s="143">
        <f t="shared" si="7"/>
        <v>2271.3917999999999</v>
      </c>
      <c r="H97" s="143"/>
      <c r="I97" s="144">
        <f t="shared" si="8"/>
        <v>249.29909999999998</v>
      </c>
      <c r="J97" s="146">
        <f t="shared" si="1"/>
        <v>403.31054399999999</v>
      </c>
      <c r="K97" s="143">
        <f t="shared" si="3"/>
        <v>63882.8943750002</v>
      </c>
    </row>
    <row r="98" spans="1:11" s="53" customFormat="1" ht="15.75" x14ac:dyDescent="0.25">
      <c r="A98" s="147">
        <f t="shared" si="5"/>
        <v>55</v>
      </c>
      <c r="B98" s="142">
        <f>VLOOKUP(B97,[2]Hoja1!F$1:G$65536,2,0)</f>
        <v>46447</v>
      </c>
      <c r="C98" s="143">
        <f t="shared" si="2"/>
        <v>63882.8943750002</v>
      </c>
      <c r="D98" s="143"/>
      <c r="E98" s="143">
        <f t="shared" si="0"/>
        <v>6473.0511315000003</v>
      </c>
      <c r="F98" s="143">
        <f t="shared" si="6"/>
        <v>3549.0496874999999</v>
      </c>
      <c r="G98" s="143">
        <f t="shared" si="7"/>
        <v>2271.3917999999999</v>
      </c>
      <c r="H98" s="143"/>
      <c r="I98" s="144">
        <f t="shared" si="8"/>
        <v>249.29909999999998</v>
      </c>
      <c r="J98" s="146">
        <f t="shared" si="1"/>
        <v>403.31054399999999</v>
      </c>
      <c r="K98" s="143">
        <f t="shared" si="3"/>
        <v>60333.844687500197</v>
      </c>
    </row>
    <row r="99" spans="1:11" s="53" customFormat="1" ht="15.75" x14ac:dyDescent="0.25">
      <c r="A99" s="147">
        <f t="shared" si="5"/>
        <v>56</v>
      </c>
      <c r="B99" s="142">
        <f>VLOOKUP(B98,[2]Hoja1!F$1:G$65536,2,0)</f>
        <v>46478</v>
      </c>
      <c r="C99" s="143">
        <f t="shared" si="2"/>
        <v>60333.844687500197</v>
      </c>
      <c r="D99" s="143"/>
      <c r="E99" s="143">
        <f t="shared" si="0"/>
        <v>6473.0511315000003</v>
      </c>
      <c r="F99" s="143">
        <f t="shared" si="6"/>
        <v>3549.0496874999999</v>
      </c>
      <c r="G99" s="143">
        <f t="shared" si="7"/>
        <v>2271.3917999999999</v>
      </c>
      <c r="H99" s="143"/>
      <c r="I99" s="144">
        <f t="shared" si="8"/>
        <v>249.29909999999998</v>
      </c>
      <c r="J99" s="146">
        <f t="shared" si="1"/>
        <v>403.31054399999999</v>
      </c>
      <c r="K99" s="143">
        <f t="shared" si="3"/>
        <v>56784.795000000195</v>
      </c>
    </row>
    <row r="100" spans="1:11" s="53" customFormat="1" ht="15.75" x14ac:dyDescent="0.25">
      <c r="A100" s="147">
        <f t="shared" si="5"/>
        <v>57</v>
      </c>
      <c r="B100" s="142">
        <f>VLOOKUP(B99,[2]Hoja1!F$1:G$65536,2,0)</f>
        <v>46508</v>
      </c>
      <c r="C100" s="143">
        <f t="shared" si="2"/>
        <v>56784.795000000195</v>
      </c>
      <c r="D100" s="143"/>
      <c r="E100" s="143">
        <f t="shared" si="0"/>
        <v>6473.0511315000003</v>
      </c>
      <c r="F100" s="143">
        <f t="shared" si="6"/>
        <v>3549.0496874999999</v>
      </c>
      <c r="G100" s="143">
        <f t="shared" si="7"/>
        <v>2271.3917999999999</v>
      </c>
      <c r="H100" s="143"/>
      <c r="I100" s="144">
        <f t="shared" si="8"/>
        <v>249.29909999999998</v>
      </c>
      <c r="J100" s="146">
        <f t="shared" si="1"/>
        <v>403.31054399999999</v>
      </c>
      <c r="K100" s="143">
        <f t="shared" si="3"/>
        <v>53235.745312500192</v>
      </c>
    </row>
    <row r="101" spans="1:11" s="53" customFormat="1" ht="15.75" x14ac:dyDescent="0.25">
      <c r="A101" s="147">
        <f t="shared" si="5"/>
        <v>58</v>
      </c>
      <c r="B101" s="142">
        <f>VLOOKUP(B100,[2]Hoja1!F$1:G$65536,2,0)</f>
        <v>46539</v>
      </c>
      <c r="C101" s="143">
        <f t="shared" si="2"/>
        <v>53235.745312500192</v>
      </c>
      <c r="D101" s="143"/>
      <c r="E101" s="143">
        <f t="shared" si="0"/>
        <v>6473.0511315000003</v>
      </c>
      <c r="F101" s="143">
        <f t="shared" si="6"/>
        <v>3549.0496874999999</v>
      </c>
      <c r="G101" s="143">
        <f t="shared" si="7"/>
        <v>2271.3917999999999</v>
      </c>
      <c r="H101" s="143"/>
      <c r="I101" s="144">
        <f t="shared" si="8"/>
        <v>249.29909999999998</v>
      </c>
      <c r="J101" s="146">
        <f t="shared" si="1"/>
        <v>403.31054399999999</v>
      </c>
      <c r="K101" s="143">
        <f t="shared" si="3"/>
        <v>49686.695625000189</v>
      </c>
    </row>
    <row r="102" spans="1:11" s="53" customFormat="1" ht="15.75" x14ac:dyDescent="0.25">
      <c r="A102" s="147">
        <f t="shared" si="5"/>
        <v>59</v>
      </c>
      <c r="B102" s="142">
        <f>VLOOKUP(B101,[2]Hoja1!F$1:G$65536,2,0)</f>
        <v>46569</v>
      </c>
      <c r="C102" s="143">
        <f t="shared" si="2"/>
        <v>49686.695625000189</v>
      </c>
      <c r="D102" s="143"/>
      <c r="E102" s="143">
        <f t="shared" si="0"/>
        <v>6473.0511315000003</v>
      </c>
      <c r="F102" s="143">
        <f t="shared" si="6"/>
        <v>3549.0496874999999</v>
      </c>
      <c r="G102" s="143">
        <f t="shared" si="7"/>
        <v>2271.3917999999999</v>
      </c>
      <c r="H102" s="143"/>
      <c r="I102" s="144">
        <f t="shared" si="8"/>
        <v>249.29909999999998</v>
      </c>
      <c r="J102" s="146">
        <f t="shared" si="1"/>
        <v>403.31054399999999</v>
      </c>
      <c r="K102" s="143">
        <f t="shared" si="3"/>
        <v>46137.645937500187</v>
      </c>
    </row>
    <row r="103" spans="1:11" s="53" customFormat="1" ht="15.75" x14ac:dyDescent="0.25">
      <c r="A103" s="147">
        <f t="shared" si="5"/>
        <v>60</v>
      </c>
      <c r="B103" s="142">
        <f>VLOOKUP(B102,[2]Hoja1!F$1:G$65536,2,0)</f>
        <v>46600</v>
      </c>
      <c r="C103" s="143">
        <f t="shared" si="2"/>
        <v>46137.645937500187</v>
      </c>
      <c r="D103" s="143"/>
      <c r="E103" s="143">
        <f t="shared" si="0"/>
        <v>6473.0511315000003</v>
      </c>
      <c r="F103" s="143">
        <f t="shared" si="6"/>
        <v>3549.0496874999999</v>
      </c>
      <c r="G103" s="143">
        <f t="shared" si="7"/>
        <v>2271.3917999999999</v>
      </c>
      <c r="H103" s="143"/>
      <c r="I103" s="144">
        <f t="shared" si="8"/>
        <v>249.29909999999998</v>
      </c>
      <c r="J103" s="146">
        <f t="shared" si="1"/>
        <v>403.31054399999999</v>
      </c>
      <c r="K103" s="143">
        <f t="shared" si="3"/>
        <v>42588.596250000184</v>
      </c>
    </row>
    <row r="104" spans="1:11" s="53" customFormat="1" ht="18" customHeight="1" x14ac:dyDescent="0.25">
      <c r="A104" s="147">
        <f t="shared" si="5"/>
        <v>61</v>
      </c>
      <c r="B104" s="142">
        <f>VLOOKUP(B103,[2]Hoja1!F$1:G$65536,2,0)</f>
        <v>46631</v>
      </c>
      <c r="C104" s="143">
        <f t="shared" si="2"/>
        <v>42588.596250000184</v>
      </c>
      <c r="D104" s="143"/>
      <c r="E104" s="143">
        <f t="shared" si="0"/>
        <v>6473.0511315000003</v>
      </c>
      <c r="F104" s="143">
        <f t="shared" si="6"/>
        <v>3549.0496874999999</v>
      </c>
      <c r="G104" s="143">
        <f t="shared" si="7"/>
        <v>2271.3917999999999</v>
      </c>
      <c r="H104" s="143"/>
      <c r="I104" s="144">
        <f t="shared" si="8"/>
        <v>249.29909999999998</v>
      </c>
      <c r="J104" s="146">
        <f t="shared" si="1"/>
        <v>403.31054399999999</v>
      </c>
      <c r="K104" s="143">
        <f t="shared" si="3"/>
        <v>39039.546562500182</v>
      </c>
    </row>
    <row r="105" spans="1:11" s="53" customFormat="1" ht="19.149999999999999" customHeight="1" x14ac:dyDescent="0.25">
      <c r="A105" s="147">
        <f t="shared" si="5"/>
        <v>62</v>
      </c>
      <c r="B105" s="142">
        <f>VLOOKUP(B104,[2]Hoja1!F$1:G$65536,2,0)</f>
        <v>46661</v>
      </c>
      <c r="C105" s="143">
        <f t="shared" si="2"/>
        <v>39039.546562500182</v>
      </c>
      <c r="D105" s="143"/>
      <c r="E105" s="143">
        <f t="shared" si="0"/>
        <v>6473.0511315000003</v>
      </c>
      <c r="F105" s="143">
        <f t="shared" si="6"/>
        <v>3549.0496874999999</v>
      </c>
      <c r="G105" s="143">
        <f t="shared" si="7"/>
        <v>2271.3917999999999</v>
      </c>
      <c r="H105" s="143"/>
      <c r="I105" s="144">
        <f t="shared" si="8"/>
        <v>249.29909999999998</v>
      </c>
      <c r="J105" s="146">
        <f t="shared" si="1"/>
        <v>403.31054399999999</v>
      </c>
      <c r="K105" s="143">
        <f t="shared" si="3"/>
        <v>35490.496875000179</v>
      </c>
    </row>
    <row r="106" spans="1:11" s="53" customFormat="1" ht="15.75" x14ac:dyDescent="0.25">
      <c r="A106" s="147">
        <f t="shared" si="5"/>
        <v>63</v>
      </c>
      <c r="B106" s="142">
        <f>VLOOKUP(B105,[2]Hoja1!F$1:G$65536,2,0)</f>
        <v>46692</v>
      </c>
      <c r="C106" s="143">
        <f t="shared" si="2"/>
        <v>35490.496875000179</v>
      </c>
      <c r="D106" s="143"/>
      <c r="E106" s="143">
        <f t="shared" si="0"/>
        <v>6473.0511315000003</v>
      </c>
      <c r="F106" s="143">
        <f t="shared" si="6"/>
        <v>3549.0496874999999</v>
      </c>
      <c r="G106" s="143">
        <f t="shared" si="7"/>
        <v>2271.3917999999999</v>
      </c>
      <c r="H106" s="143"/>
      <c r="I106" s="144">
        <f t="shared" si="8"/>
        <v>249.29909999999998</v>
      </c>
      <c r="J106" s="146">
        <f t="shared" si="1"/>
        <v>403.31054399999999</v>
      </c>
      <c r="K106" s="143">
        <f t="shared" si="3"/>
        <v>31941.44718750018</v>
      </c>
    </row>
    <row r="107" spans="1:11" s="53" customFormat="1" ht="15.75" x14ac:dyDescent="0.25">
      <c r="A107" s="147">
        <f t="shared" si="5"/>
        <v>64</v>
      </c>
      <c r="B107" s="142">
        <f>VLOOKUP(B106,[2]Hoja1!F$1:G$65536,2,0)</f>
        <v>46722</v>
      </c>
      <c r="C107" s="143">
        <f t="shared" si="2"/>
        <v>31941.44718750018</v>
      </c>
      <c r="D107" s="143"/>
      <c r="E107" s="143">
        <f t="shared" ref="E107:E119" si="9">F107+H107+I107+J107+D107+G107</f>
        <v>6473.0511315000003</v>
      </c>
      <c r="F107" s="143">
        <f t="shared" si="6"/>
        <v>3549.0496874999999</v>
      </c>
      <c r="G107" s="143">
        <f t="shared" si="7"/>
        <v>2271.3917999999999</v>
      </c>
      <c r="H107" s="143"/>
      <c r="I107" s="144">
        <f t="shared" si="8"/>
        <v>249.29909999999998</v>
      </c>
      <c r="J107" s="146">
        <f t="shared" ref="J107:J119" si="10">SUM(D107+G107+H107+I107)*C$15</f>
        <v>403.31054399999999</v>
      </c>
      <c r="K107" s="143">
        <f t="shared" si="3"/>
        <v>28392.397500000181</v>
      </c>
    </row>
    <row r="108" spans="1:11" s="53" customFormat="1" ht="15.75" x14ac:dyDescent="0.25">
      <c r="A108" s="147">
        <f t="shared" si="5"/>
        <v>65</v>
      </c>
      <c r="B108" s="142">
        <f>VLOOKUP(B107,[2]Hoja1!F$1:G$65536,2,0)</f>
        <v>46753</v>
      </c>
      <c r="C108" s="143">
        <f t="shared" ref="C108:C115" si="11">C107-F107</f>
        <v>28392.397500000181</v>
      </c>
      <c r="D108" s="143"/>
      <c r="E108" s="143">
        <f t="shared" si="9"/>
        <v>6473.0511315000003</v>
      </c>
      <c r="F108" s="143">
        <f t="shared" si="6"/>
        <v>3549.0496874999999</v>
      </c>
      <c r="G108" s="143">
        <f t="shared" si="7"/>
        <v>2271.3917999999999</v>
      </c>
      <c r="H108" s="143"/>
      <c r="I108" s="144">
        <f t="shared" si="8"/>
        <v>249.29909999999998</v>
      </c>
      <c r="J108" s="146">
        <f t="shared" si="10"/>
        <v>403.31054399999999</v>
      </c>
      <c r="K108" s="143">
        <f t="shared" ref="K108:K115" si="12">K107-F108</f>
        <v>24843.347812500182</v>
      </c>
    </row>
    <row r="109" spans="1:11" s="53" customFormat="1" ht="15.75" x14ac:dyDescent="0.25">
      <c r="A109" s="147">
        <f t="shared" si="5"/>
        <v>66</v>
      </c>
      <c r="B109" s="142">
        <f>VLOOKUP(B108,[2]Hoja1!F$1:G$65536,2,0)</f>
        <v>46784</v>
      </c>
      <c r="C109" s="143">
        <f t="shared" si="11"/>
        <v>24843.347812500182</v>
      </c>
      <c r="D109" s="143"/>
      <c r="E109" s="143">
        <f t="shared" si="9"/>
        <v>6473.0511315000003</v>
      </c>
      <c r="F109" s="143">
        <f t="shared" si="6"/>
        <v>3549.0496874999999</v>
      </c>
      <c r="G109" s="143">
        <f t="shared" si="7"/>
        <v>2271.3917999999999</v>
      </c>
      <c r="H109" s="143"/>
      <c r="I109" s="144">
        <f t="shared" si="8"/>
        <v>249.29909999999998</v>
      </c>
      <c r="J109" s="146">
        <f t="shared" si="10"/>
        <v>403.31054399999999</v>
      </c>
      <c r="K109" s="143">
        <f t="shared" si="12"/>
        <v>21294.298125000183</v>
      </c>
    </row>
    <row r="110" spans="1:11" s="53" customFormat="1" ht="15.75" x14ac:dyDescent="0.25">
      <c r="A110" s="147">
        <f t="shared" ref="A110" si="13">A109+1</f>
        <v>67</v>
      </c>
      <c r="B110" s="142">
        <f>VLOOKUP(B109,[2]Hoja1!F$1:G$65536,2,0)</f>
        <v>46813</v>
      </c>
      <c r="C110" s="143">
        <f t="shared" si="11"/>
        <v>21294.298125000183</v>
      </c>
      <c r="D110" s="143"/>
      <c r="E110" s="143">
        <f t="shared" si="9"/>
        <v>6473.0511315000003</v>
      </c>
      <c r="F110" s="143">
        <f t="shared" si="6"/>
        <v>3549.0496874999999</v>
      </c>
      <c r="G110" s="143">
        <f t="shared" si="7"/>
        <v>2271.3917999999999</v>
      </c>
      <c r="H110" s="143"/>
      <c r="I110" s="144">
        <f t="shared" si="8"/>
        <v>249.29909999999998</v>
      </c>
      <c r="J110" s="146">
        <f t="shared" si="10"/>
        <v>403.31054399999999</v>
      </c>
      <c r="K110" s="143">
        <f t="shared" si="12"/>
        <v>17745.248437500184</v>
      </c>
    </row>
    <row r="111" spans="1:11" s="53" customFormat="1" ht="15.75" x14ac:dyDescent="0.25">
      <c r="A111" s="147">
        <f>A110+1</f>
        <v>68</v>
      </c>
      <c r="B111" s="142">
        <f>VLOOKUP(B110,[2]Hoja1!F$1:G$65536,2,0)</f>
        <v>46844</v>
      </c>
      <c r="C111" s="143">
        <f t="shared" si="11"/>
        <v>17745.248437500184</v>
      </c>
      <c r="D111" s="143"/>
      <c r="E111" s="143">
        <f t="shared" si="9"/>
        <v>6473.0511315000003</v>
      </c>
      <c r="F111" s="143">
        <f t="shared" si="6"/>
        <v>3549.0496874999999</v>
      </c>
      <c r="G111" s="143">
        <f t="shared" si="7"/>
        <v>2271.3917999999999</v>
      </c>
      <c r="H111" s="143"/>
      <c r="I111" s="144">
        <f t="shared" si="8"/>
        <v>249.29909999999998</v>
      </c>
      <c r="J111" s="146">
        <f t="shared" si="10"/>
        <v>403.31054399999999</v>
      </c>
      <c r="K111" s="143">
        <f t="shared" si="12"/>
        <v>14196.198750000185</v>
      </c>
    </row>
    <row r="112" spans="1:11" s="53" customFormat="1" ht="15.75" x14ac:dyDescent="0.25">
      <c r="A112" s="147">
        <f>A111+1</f>
        <v>69</v>
      </c>
      <c r="B112" s="142">
        <f>VLOOKUP(B111,[2]Hoja1!F$1:G$65536,2,0)</f>
        <v>46874</v>
      </c>
      <c r="C112" s="143">
        <f t="shared" si="11"/>
        <v>14196.198750000185</v>
      </c>
      <c r="D112" s="143"/>
      <c r="E112" s="143">
        <f t="shared" si="9"/>
        <v>6473.0511315000003</v>
      </c>
      <c r="F112" s="143">
        <f t="shared" si="6"/>
        <v>3549.0496874999999</v>
      </c>
      <c r="G112" s="143">
        <f t="shared" si="7"/>
        <v>2271.3917999999999</v>
      </c>
      <c r="H112" s="143"/>
      <c r="I112" s="144">
        <f t="shared" si="8"/>
        <v>249.29909999999998</v>
      </c>
      <c r="J112" s="146">
        <f t="shared" si="10"/>
        <v>403.31054399999999</v>
      </c>
      <c r="K112" s="143">
        <f t="shared" si="12"/>
        <v>10647.149062500186</v>
      </c>
    </row>
    <row r="113" spans="1:13" s="53" customFormat="1" ht="15.75" x14ac:dyDescent="0.25">
      <c r="A113" s="147">
        <f>A112+1</f>
        <v>70</v>
      </c>
      <c r="B113" s="142">
        <f>VLOOKUP(B112,[2]Hoja1!F$1:G$65536,2,0)</f>
        <v>46905</v>
      </c>
      <c r="C113" s="143">
        <f t="shared" si="11"/>
        <v>10647.149062500186</v>
      </c>
      <c r="D113" s="143"/>
      <c r="E113" s="143">
        <f t="shared" si="9"/>
        <v>6473.0511315000003</v>
      </c>
      <c r="F113" s="143">
        <f t="shared" si="6"/>
        <v>3549.0496874999999</v>
      </c>
      <c r="G113" s="143">
        <f t="shared" si="7"/>
        <v>2271.3917999999999</v>
      </c>
      <c r="H113" s="143"/>
      <c r="I113" s="144">
        <f t="shared" si="8"/>
        <v>249.29909999999998</v>
      </c>
      <c r="J113" s="146">
        <f t="shared" si="10"/>
        <v>403.31054399999999</v>
      </c>
      <c r="K113" s="143">
        <f t="shared" si="12"/>
        <v>7098.0993750001862</v>
      </c>
    </row>
    <row r="114" spans="1:13" s="53" customFormat="1" ht="15.75" x14ac:dyDescent="0.25">
      <c r="A114" s="147">
        <f>A113+1</f>
        <v>71</v>
      </c>
      <c r="B114" s="142">
        <f>VLOOKUP(B113,[2]Hoja1!F$1:G$65536,2,0)</f>
        <v>46935</v>
      </c>
      <c r="C114" s="143">
        <f t="shared" si="11"/>
        <v>7098.0993750001862</v>
      </c>
      <c r="D114" s="143"/>
      <c r="E114" s="143">
        <f t="shared" si="9"/>
        <v>6473.0511315000003</v>
      </c>
      <c r="F114" s="143">
        <f t="shared" si="6"/>
        <v>3549.0496874999999</v>
      </c>
      <c r="G114" s="143">
        <f t="shared" si="7"/>
        <v>2271.3917999999999</v>
      </c>
      <c r="H114" s="143"/>
      <c r="I114" s="144">
        <f t="shared" si="8"/>
        <v>249.29909999999998</v>
      </c>
      <c r="J114" s="146">
        <f t="shared" si="10"/>
        <v>403.31054399999999</v>
      </c>
      <c r="K114" s="143">
        <f t="shared" si="12"/>
        <v>3549.0496875001863</v>
      </c>
    </row>
    <row r="115" spans="1:13" s="53" customFormat="1" ht="15.75" x14ac:dyDescent="0.25">
      <c r="A115" s="147">
        <f>A114+1</f>
        <v>72</v>
      </c>
      <c r="B115" s="142">
        <f>VLOOKUP(B114,[2]Hoja1!F$1:G$65536,2,0)</f>
        <v>46966</v>
      </c>
      <c r="C115" s="143">
        <f t="shared" si="11"/>
        <v>3549.0496875001863</v>
      </c>
      <c r="D115" s="143"/>
      <c r="E115" s="143">
        <f t="shared" si="9"/>
        <v>6473.0511315000003</v>
      </c>
      <c r="F115" s="143">
        <f t="shared" si="6"/>
        <v>3549.0496874999999</v>
      </c>
      <c r="G115" s="143">
        <f t="shared" si="7"/>
        <v>2271.3917999999999</v>
      </c>
      <c r="H115" s="143"/>
      <c r="I115" s="144">
        <f t="shared" si="8"/>
        <v>249.29909999999998</v>
      </c>
      <c r="J115" s="146">
        <f t="shared" si="10"/>
        <v>403.31054399999999</v>
      </c>
      <c r="K115" s="143">
        <f t="shared" si="12"/>
        <v>1.8644641386345029E-10</v>
      </c>
    </row>
    <row r="116" spans="1:13" s="53" customFormat="1" ht="26.25" x14ac:dyDescent="0.4">
      <c r="B116" s="153" t="s">
        <v>64</v>
      </c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</row>
    <row r="117" spans="1:13" s="53" customFormat="1" x14ac:dyDescent="0.25"/>
    <row r="118" spans="1:13" s="53" customFormat="1" x14ac:dyDescent="0.25"/>
    <row r="119" spans="1:13" s="53" customFormat="1" x14ac:dyDescent="0.25"/>
    <row r="120" spans="1:13" s="53" customFormat="1" x14ac:dyDescent="0.25"/>
    <row r="121" spans="1:13" s="53" customFormat="1" x14ac:dyDescent="0.25"/>
    <row r="122" spans="1:13" s="53" customFormat="1" x14ac:dyDescent="0.25"/>
    <row r="123" spans="1:13" s="53" customFormat="1" x14ac:dyDescent="0.25"/>
    <row r="124" spans="1:13" s="53" customFormat="1" x14ac:dyDescent="0.25"/>
    <row r="125" spans="1:13" s="53" customFormat="1" x14ac:dyDescent="0.25"/>
    <row r="126" spans="1:13" s="53" customFormat="1" x14ac:dyDescent="0.25"/>
    <row r="127" spans="1:13" s="53" customFormat="1" x14ac:dyDescent="0.25"/>
    <row r="128" spans="1:13" s="53" customFormat="1" x14ac:dyDescent="0.25"/>
    <row r="129" s="53" customFormat="1" x14ac:dyDescent="0.25"/>
    <row r="130" s="53" customFormat="1" x14ac:dyDescent="0.25"/>
    <row r="131" s="53" customFormat="1" x14ac:dyDescent="0.25"/>
    <row r="132" s="53" customFormat="1" x14ac:dyDescent="0.25"/>
    <row r="133" s="53" customFormat="1" x14ac:dyDescent="0.25"/>
    <row r="134" s="53" customFormat="1" x14ac:dyDescent="0.25"/>
    <row r="135" s="53" customFormat="1" x14ac:dyDescent="0.25"/>
    <row r="136" s="53" customFormat="1" x14ac:dyDescent="0.25"/>
    <row r="137" s="53" customFormat="1" x14ac:dyDescent="0.25"/>
    <row r="138" s="53" customFormat="1" x14ac:dyDescent="0.25"/>
    <row r="139" s="53" customFormat="1" x14ac:dyDescent="0.25"/>
    <row r="140" s="53" customFormat="1" x14ac:dyDescent="0.25"/>
    <row r="141" s="53" customFormat="1" x14ac:dyDescent="0.25"/>
    <row r="142" s="53" customFormat="1" x14ac:dyDescent="0.25"/>
    <row r="143" s="53" customFormat="1" x14ac:dyDescent="0.25"/>
    <row r="144" s="53" customFormat="1" x14ac:dyDescent="0.25"/>
    <row r="145" s="53" customFormat="1" x14ac:dyDescent="0.25"/>
    <row r="146" s="53" customFormat="1" x14ac:dyDescent="0.25"/>
    <row r="147" s="53" customFormat="1" x14ac:dyDescent="0.25"/>
    <row r="148" s="53" customFormat="1" x14ac:dyDescent="0.25"/>
    <row r="149" s="53" customFormat="1" x14ac:dyDescent="0.25"/>
    <row r="150" s="53" customFormat="1" x14ac:dyDescent="0.25"/>
    <row r="151" s="53" customFormat="1" x14ac:dyDescent="0.25"/>
    <row r="152" s="53" customFormat="1" x14ac:dyDescent="0.25"/>
    <row r="153" s="53" customFormat="1" x14ac:dyDescent="0.25"/>
    <row r="154" s="53" customFormat="1" x14ac:dyDescent="0.25"/>
    <row r="155" s="53" customFormat="1" x14ac:dyDescent="0.25"/>
    <row r="156" s="53" customFormat="1" x14ac:dyDescent="0.25"/>
    <row r="157" s="53" customFormat="1" x14ac:dyDescent="0.25"/>
    <row r="158" s="53" customFormat="1" x14ac:dyDescent="0.25"/>
    <row r="159" s="53" customFormat="1" x14ac:dyDescent="0.25"/>
    <row r="160" s="53" customFormat="1" x14ac:dyDescent="0.25"/>
    <row r="161" s="53" customFormat="1" x14ac:dyDescent="0.25"/>
    <row r="162" s="53" customFormat="1" x14ac:dyDescent="0.25"/>
    <row r="163" s="53" customFormat="1" x14ac:dyDescent="0.25"/>
    <row r="164" s="53" customFormat="1" x14ac:dyDescent="0.25"/>
    <row r="165" s="53" customFormat="1" x14ac:dyDescent="0.25"/>
    <row r="166" s="53" customFormat="1" x14ac:dyDescent="0.25"/>
    <row r="167" s="53" customFormat="1" x14ac:dyDescent="0.25"/>
    <row r="168" s="53" customFormat="1" x14ac:dyDescent="0.25"/>
    <row r="169" s="53" customFormat="1" x14ac:dyDescent="0.25"/>
    <row r="170" s="53" customFormat="1" x14ac:dyDescent="0.25"/>
    <row r="171" s="53" customFormat="1" x14ac:dyDescent="0.25"/>
    <row r="172" s="53" customFormat="1" x14ac:dyDescent="0.25"/>
    <row r="173" s="53" customFormat="1" x14ac:dyDescent="0.25"/>
    <row r="174" s="53" customFormat="1" x14ac:dyDescent="0.25"/>
    <row r="175" s="53" customFormat="1" x14ac:dyDescent="0.25"/>
    <row r="176" s="53" customFormat="1" x14ac:dyDescent="0.25"/>
    <row r="177" spans="5:5" s="53" customFormat="1" x14ac:dyDescent="0.25"/>
    <row r="178" spans="5:5" s="53" customFormat="1" x14ac:dyDescent="0.25"/>
    <row r="179" spans="5:5" s="53" customFormat="1" x14ac:dyDescent="0.25"/>
    <row r="180" spans="5:5" s="53" customFormat="1" x14ac:dyDescent="0.25"/>
    <row r="188" spans="5:5" x14ac:dyDescent="0.25">
      <c r="E188" s="154"/>
    </row>
    <row r="189" spans="5:5" x14ac:dyDescent="0.25">
      <c r="E189" s="156"/>
    </row>
    <row r="190" spans="5:5" x14ac:dyDescent="0.25">
      <c r="E190" s="156"/>
    </row>
    <row r="191" spans="5:5" x14ac:dyDescent="0.25">
      <c r="E191" s="156"/>
    </row>
  </sheetData>
  <mergeCells count="35">
    <mergeCell ref="B116:M116"/>
    <mergeCell ref="C24:D24"/>
    <mergeCell ref="A37:K37"/>
    <mergeCell ref="A38:K38"/>
    <mergeCell ref="A39:K39"/>
    <mergeCell ref="A40:B40"/>
    <mergeCell ref="C40:G40"/>
    <mergeCell ref="J40:K40"/>
    <mergeCell ref="C18:D18"/>
    <mergeCell ref="C19:D19"/>
    <mergeCell ref="C20:D20"/>
    <mergeCell ref="C21:D21"/>
    <mergeCell ref="C22:D22"/>
    <mergeCell ref="C23:D23"/>
    <mergeCell ref="L12:M12"/>
    <mergeCell ref="C13:D13"/>
    <mergeCell ref="C14:D14"/>
    <mergeCell ref="C15:D15"/>
    <mergeCell ref="C16:D16"/>
    <mergeCell ref="C17:D17"/>
    <mergeCell ref="C7:D7"/>
    <mergeCell ref="C8:D8"/>
    <mergeCell ref="C9:D9"/>
    <mergeCell ref="C10:D10"/>
    <mergeCell ref="B12:D12"/>
    <mergeCell ref="I12:J12"/>
    <mergeCell ref="E1:K2"/>
    <mergeCell ref="C3:G3"/>
    <mergeCell ref="L3:M3"/>
    <mergeCell ref="C4:G4"/>
    <mergeCell ref="I4:J5"/>
    <mergeCell ref="C5:D5"/>
    <mergeCell ref="E5:F5"/>
    <mergeCell ref="L5:L6"/>
    <mergeCell ref="M5:M6"/>
  </mergeCells>
  <pageMargins left="0.31496062992125984" right="0.31496062992125984" top="0" bottom="0" header="0.31496062992125984" footer="0.31496062992125984"/>
  <pageSetup scale="43" orientation="landscape" horizontalDpi="360" verticalDpi="360" r:id="rId1"/>
  <rowBreaks count="2" manualBreakCount="2">
    <brk id="36" max="12" man="1"/>
    <brk id="11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AMORTIZACION  AUTO  72</vt:lpstr>
      <vt:lpstr>'AMORTIZACION  AUTO  72'!Área_de_impresión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t-v</dc:creator>
  <cp:lastModifiedBy>t-v</cp:lastModifiedBy>
  <dcterms:created xsi:type="dcterms:W3CDTF">2026-06-06T21:50:42Z</dcterms:created>
  <dcterms:modified xsi:type="dcterms:W3CDTF">2026-06-06T21:51:36Z</dcterms:modified>
</cp:coreProperties>
</file>